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AC7968E3-F7EA-4677-8215-A9C159A19D3E}" xr6:coauthVersionLast="45" xr6:coauthVersionMax="45" xr10:uidLastSave="{00000000-0000-0000-0000-000000000000}"/>
  <bookViews>
    <workbookView xWindow="31035" yWindow="1125" windowWidth="23790" windowHeight="13980" xr2:uid="{00000000-000D-0000-FFFF-FFFF00000000}"/>
  </bookViews>
  <sheets>
    <sheet name="231107_WT_4_Cell 2_SPB_new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5" i="1"/>
  <c r="T24" i="1" l="1"/>
</calcChain>
</file>

<file path=xl/sharedStrings.xml><?xml version="1.0" encoding="utf-8"?>
<sst xmlns="http://schemas.openxmlformats.org/spreadsheetml/2006/main" count="31" uniqueCount="22">
  <si>
    <t>POSITION_X</t>
  </si>
  <si>
    <t>POSITION_Y</t>
  </si>
  <si>
    <t>POSITION_Z</t>
  </si>
  <si>
    <t>POSITION_T</t>
  </si>
  <si>
    <t>FRAME</t>
  </si>
  <si>
    <t>MIN_INTENSITY_CH1</t>
  </si>
  <si>
    <t>MAX_INTENSITY_CH1</t>
  </si>
  <si>
    <t>TOTAL_INTENSITY_CH1</t>
  </si>
  <si>
    <t>X</t>
  </si>
  <si>
    <t>Y</t>
  </si>
  <si>
    <t>Z</t>
  </si>
  <si>
    <t>T</t>
  </si>
  <si>
    <t>Frame</t>
  </si>
  <si>
    <t>Min intensity ch1</t>
  </si>
  <si>
    <t>Max intensity ch1</t>
  </si>
  <si>
    <t>Sum intensity ch1</t>
  </si>
  <si>
    <t>Min ch1</t>
  </si>
  <si>
    <t>Max ch1</t>
  </si>
  <si>
    <t>Sum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</si>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</sst>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1501727751656941E-2"/>
                  <c:y val="0.302930091148875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2_SPB_new'!$S$5:$S$23</c:f>
              <c:numCache>
                <c:formatCode>General</c:formatCode>
                <c:ptCount val="19"/>
                <c:pt idx="0">
                  <c:v>0</c:v>
                </c:pt>
                <c:pt idx="1">
                  <c:v>6.3709620634714664E-2</c:v>
                </c:pt>
                <c:pt idx="2">
                  <c:v>0.1274192412694295</c:v>
                </c:pt>
                <c:pt idx="3">
                  <c:v>0.19112886190414333</c:v>
                </c:pt>
                <c:pt idx="4">
                  <c:v>0.25483848253885832</c:v>
                </c:pt>
                <c:pt idx="5">
                  <c:v>0.31854810317357335</c:v>
                </c:pt>
                <c:pt idx="6">
                  <c:v>0.38225772380828832</c:v>
                </c:pt>
                <c:pt idx="7">
                  <c:v>0.44596734444300334</c:v>
                </c:pt>
                <c:pt idx="8">
                  <c:v>0.50967696507771665</c:v>
                </c:pt>
                <c:pt idx="9">
                  <c:v>0.57338658571243173</c:v>
                </c:pt>
                <c:pt idx="10">
                  <c:v>0.6370962063471467</c:v>
                </c:pt>
                <c:pt idx="11">
                  <c:v>0.70080582698186167</c:v>
                </c:pt>
                <c:pt idx="12">
                  <c:v>0.76451544761657664</c:v>
                </c:pt>
                <c:pt idx="13">
                  <c:v>0.82822506825129172</c:v>
                </c:pt>
                <c:pt idx="14">
                  <c:v>0.89193468888600669</c:v>
                </c:pt>
                <c:pt idx="15">
                  <c:v>0.95564430952071999</c:v>
                </c:pt>
                <c:pt idx="16">
                  <c:v>1.0193539301554351</c:v>
                </c:pt>
                <c:pt idx="17">
                  <c:v>1.08306355079015</c:v>
                </c:pt>
                <c:pt idx="18">
                  <c:v>1.146773171424865</c:v>
                </c:pt>
              </c:numCache>
            </c:numRef>
          </c:xVal>
          <c:yVal>
            <c:numRef>
              <c:f>'231107_WT_4_Cell 2_SPB_new'!$T$5:$T$23</c:f>
              <c:numCache>
                <c:formatCode>General</c:formatCode>
                <c:ptCount val="19"/>
                <c:pt idx="0">
                  <c:v>2.127001741410333</c:v>
                </c:pt>
                <c:pt idx="1">
                  <c:v>2.1735781128535456</c:v>
                </c:pt>
                <c:pt idx="2">
                  <c:v>2.2308735145774952</c:v>
                </c:pt>
                <c:pt idx="3">
                  <c:v>2.2062077755158382</c:v>
                </c:pt>
                <c:pt idx="4">
                  <c:v>2.2517867344323985</c:v>
                </c:pt>
                <c:pt idx="5">
                  <c:v>2.2645964900840792</c:v>
                </c:pt>
                <c:pt idx="6">
                  <c:v>2.3004525116273569</c:v>
                </c:pt>
                <c:pt idx="7">
                  <c:v>2.434397765768316</c:v>
                </c:pt>
                <c:pt idx="8">
                  <c:v>2.3844675499253967</c:v>
                </c:pt>
                <c:pt idx="9">
                  <c:v>2.3889828155636978</c:v>
                </c:pt>
                <c:pt idx="10">
                  <c:v>2.4641517109582427</c:v>
                </c:pt>
                <c:pt idx="11">
                  <c:v>2.5018055447155017</c:v>
                </c:pt>
                <c:pt idx="12">
                  <c:v>2.5010142739675763</c:v>
                </c:pt>
                <c:pt idx="13">
                  <c:v>2.6903555035058235</c:v>
                </c:pt>
                <c:pt idx="14">
                  <c:v>2.5826455086649118</c:v>
                </c:pt>
                <c:pt idx="15">
                  <c:v>2.6235748237377443</c:v>
                </c:pt>
                <c:pt idx="16">
                  <c:v>2.6805522961368773</c:v>
                </c:pt>
                <c:pt idx="17">
                  <c:v>2.7836685991353458</c:v>
                </c:pt>
                <c:pt idx="18">
                  <c:v>2.892804897838182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2-4002-B12C-C0006F674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440648"/>
        <c:axId val="764440976"/>
      </c:scatterChart>
      <c:valAx>
        <c:axId val="764440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440976"/>
        <c:crosses val="autoZero"/>
        <c:crossBetween val="midCat"/>
      </c:valAx>
      <c:valAx>
        <c:axId val="76444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440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219075</xdr:colOff>
      <xdr:row>15</xdr:row>
      <xdr:rowOff>61912</xdr:rowOff>
    </xdr:from>
    <xdr:to>
      <xdr:col>16</xdr:col>
      <xdr:colOff>428625</xdr:colOff>
      <xdr:row>29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94B9A-1882-4158-B151-CBACF2F0A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7_WT_4_Cell%202_Kar9_1_20_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1107_WT_4_Cell 2_Kar9_1_20"/>
    </sheetNames>
    <sheetDataSet>
      <sheetData sheetId="0">
        <row r="5">
          <cell r="M5">
            <v>4.9820098937809503</v>
          </cell>
          <cell r="N5">
            <v>4.75060625442784</v>
          </cell>
          <cell r="O5">
            <v>2.0680506961470599</v>
          </cell>
        </row>
        <row r="6">
          <cell r="M6">
            <v>4.9278905609856798</v>
          </cell>
          <cell r="N6">
            <v>4.71198230055019</v>
          </cell>
          <cell r="O6">
            <v>2.2136005066655602</v>
          </cell>
        </row>
        <row r="7">
          <cell r="M7">
            <v>4.8615520466666897</v>
          </cell>
          <cell r="N7">
            <v>4.6902028778517399</v>
          </cell>
          <cell r="O7">
            <v>2.1622750554902002</v>
          </cell>
        </row>
        <row r="8">
          <cell r="M8">
            <v>4.7085841636375001</v>
          </cell>
          <cell r="N8">
            <v>4.6721543298665997</v>
          </cell>
          <cell r="O8">
            <v>2.4288447762512</v>
          </cell>
        </row>
        <row r="9">
          <cell r="M9">
            <v>4.5282340225263198</v>
          </cell>
          <cell r="N9">
            <v>4.6478472597496197</v>
          </cell>
          <cell r="O9">
            <v>2.4171605062748398</v>
          </cell>
        </row>
        <row r="10">
          <cell r="M10">
            <v>4.5002203780890602</v>
          </cell>
          <cell r="N10">
            <v>4.5952762980677004</v>
          </cell>
          <cell r="O10">
            <v>2.1819425813951101</v>
          </cell>
        </row>
        <row r="11">
          <cell r="M11">
            <v>4.3977583638391602</v>
          </cell>
          <cell r="N11">
            <v>4.4919879182840203</v>
          </cell>
          <cell r="O11">
            <v>2.1126232935499401</v>
          </cell>
        </row>
        <row r="12">
          <cell r="M12">
            <v>4.2520566099234101</v>
          </cell>
          <cell r="N12">
            <v>4.4835240358827502</v>
          </cell>
          <cell r="O12">
            <v>2.11632248216557</v>
          </cell>
        </row>
        <row r="13">
          <cell r="M13">
            <v>4.1414713289832301</v>
          </cell>
          <cell r="N13">
            <v>4.5463326345671202</v>
          </cell>
          <cell r="O13">
            <v>2.15710365366846</v>
          </cell>
        </row>
        <row r="14">
          <cell r="M14">
            <v>4.0092019012385904</v>
          </cell>
          <cell r="N14">
            <v>4.35702919260076</v>
          </cell>
          <cell r="O14">
            <v>2.1146071368695498</v>
          </cell>
        </row>
        <row r="15">
          <cell r="M15">
            <v>3.8183734388165602</v>
          </cell>
          <cell r="N15">
            <v>4.4099524536378798</v>
          </cell>
          <cell r="O15">
            <v>2.32364282133834</v>
          </cell>
        </row>
        <row r="16">
          <cell r="M16">
            <v>3.71960544513394</v>
          </cell>
          <cell r="N16">
            <v>4.3251287943329801</v>
          </cell>
          <cell r="O16">
            <v>2.2158432794961702</v>
          </cell>
        </row>
        <row r="17">
          <cell r="M17">
            <v>3.7408519219796501</v>
          </cell>
          <cell r="N17">
            <v>4.3631850174897497</v>
          </cell>
          <cell r="O17">
            <v>2.7024522377288802</v>
          </cell>
        </row>
        <row r="18">
          <cell r="M18">
            <v>3.6644241314459198</v>
          </cell>
          <cell r="N18">
            <v>4.3496207005984102</v>
          </cell>
          <cell r="O18">
            <v>2.4425559551675602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>
      <selection activeCell="O12" sqref="O12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20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18</v>
      </c>
    </row>
    <row r="4" spans="1:20" x14ac:dyDescent="0.25">
      <c r="A4" t="s">
        <v>19</v>
      </c>
      <c r="B4" t="s">
        <v>19</v>
      </c>
      <c r="C4" t="s">
        <v>19</v>
      </c>
      <c r="D4" t="s">
        <v>20</v>
      </c>
      <c r="F4" t="s">
        <v>21</v>
      </c>
      <c r="G4" t="s">
        <v>21</v>
      </c>
      <c r="H4" t="s">
        <v>21</v>
      </c>
    </row>
    <row r="5" spans="1:20" x14ac:dyDescent="0.25">
      <c r="A5">
        <v>3.5935741042241398</v>
      </c>
      <c r="B5">
        <v>3.1323961889838401</v>
      </c>
      <c r="C5">
        <v>2.76205765876951</v>
      </c>
      <c r="D5">
        <v>0</v>
      </c>
      <c r="E5">
        <v>0</v>
      </c>
      <c r="F5">
        <v>80</v>
      </c>
      <c r="G5">
        <v>197</v>
      </c>
      <c r="H5">
        <v>10965</v>
      </c>
      <c r="I5">
        <v>8</v>
      </c>
      <c r="J5">
        <v>50.120761871337798</v>
      </c>
      <c r="K5">
        <v>5.0169555443922</v>
      </c>
      <c r="L5">
        <v>4.6447345759510004</v>
      </c>
      <c r="M5">
        <v>2.30276005693247</v>
      </c>
      <c r="N5">
        <v>0</v>
      </c>
      <c r="O5">
        <v>0</v>
      </c>
      <c r="P5">
        <v>26</v>
      </c>
      <c r="Q5">
        <v>66</v>
      </c>
      <c r="R5">
        <v>3784</v>
      </c>
      <c r="S5">
        <f>D5/60</f>
        <v>0</v>
      </c>
      <c r="T5">
        <f>SQRT((A5-K5)^2+(B5-L5)^2+(C5-M5)^2)</f>
        <v>2.127001741410333</v>
      </c>
    </row>
    <row r="6" spans="1:20" x14ac:dyDescent="0.25">
      <c r="A6">
        <v>3.6464502911996801</v>
      </c>
      <c r="B6">
        <v>3.15577479660756</v>
      </c>
      <c r="C6">
        <v>2.8305353021118398</v>
      </c>
      <c r="D6">
        <v>3.82257723808288</v>
      </c>
      <c r="E6">
        <v>1</v>
      </c>
      <c r="F6">
        <v>67</v>
      </c>
      <c r="G6">
        <v>173</v>
      </c>
      <c r="H6">
        <v>9844</v>
      </c>
      <c r="I6">
        <v>8</v>
      </c>
      <c r="J6">
        <v>40.822029113769503</v>
      </c>
      <c r="K6">
        <v>5.0364378774585896</v>
      </c>
      <c r="L6">
        <v>4.6756125046363701</v>
      </c>
      <c r="M6">
        <v>2.13593493933059</v>
      </c>
      <c r="N6">
        <v>3.82257723808288</v>
      </c>
      <c r="O6">
        <v>1</v>
      </c>
      <c r="P6">
        <v>22</v>
      </c>
      <c r="Q6">
        <v>54</v>
      </c>
      <c r="R6">
        <v>3119</v>
      </c>
      <c r="S6">
        <f t="shared" ref="S6:S24" si="0">D6/60</f>
        <v>6.3709620634714664E-2</v>
      </c>
      <c r="T6">
        <f>SQRT((A6-K6)^2+(B6-L6)^2+(C6-M6)^2)</f>
        <v>2.1735781128535456</v>
      </c>
    </row>
    <row r="7" spans="1:20" x14ac:dyDescent="0.25">
      <c r="A7">
        <v>3.6986092941130302</v>
      </c>
      <c r="B7">
        <v>3.1565074994865201</v>
      </c>
      <c r="C7">
        <v>2.8267492477963598</v>
      </c>
      <c r="D7">
        <v>7.6451544761657697</v>
      </c>
      <c r="E7">
        <v>2</v>
      </c>
      <c r="F7">
        <v>72</v>
      </c>
      <c r="G7">
        <v>161</v>
      </c>
      <c r="H7">
        <v>9128</v>
      </c>
      <c r="I7">
        <v>8</v>
      </c>
      <c r="J7">
        <v>28.123586654663001</v>
      </c>
      <c r="K7">
        <v>5.0285907668884198</v>
      </c>
      <c r="L7">
        <v>4.7230747183221098</v>
      </c>
      <c r="M7">
        <v>1.95852515864237</v>
      </c>
      <c r="N7">
        <v>7.6451544761657697</v>
      </c>
      <c r="O7">
        <v>2</v>
      </c>
      <c r="P7">
        <v>17</v>
      </c>
      <c r="Q7">
        <v>37</v>
      </c>
      <c r="R7">
        <v>2159</v>
      </c>
      <c r="S7">
        <f t="shared" si="0"/>
        <v>0.1274192412694295</v>
      </c>
      <c r="T7">
        <f>SQRT((A7-K7)^2+(B7-L7)^2+(C7-M7)^2)</f>
        <v>2.2308735145774952</v>
      </c>
    </row>
    <row r="8" spans="1:20" x14ac:dyDescent="0.25">
      <c r="A8">
        <v>3.6361106430596002</v>
      </c>
      <c r="B8">
        <v>3.1331559806198102</v>
      </c>
      <c r="C8">
        <v>2.78895288579128</v>
      </c>
      <c r="D8">
        <v>11.4677317142486</v>
      </c>
      <c r="E8">
        <v>3</v>
      </c>
      <c r="F8">
        <v>44</v>
      </c>
      <c r="G8">
        <v>119</v>
      </c>
      <c r="H8">
        <v>6414</v>
      </c>
      <c r="I8">
        <v>8</v>
      </c>
      <c r="J8">
        <v>18.855369567871001</v>
      </c>
      <c r="K8">
        <v>4.9579782107391699</v>
      </c>
      <c r="L8">
        <v>4.8073379098676599</v>
      </c>
      <c r="M8">
        <v>2.22580659037295</v>
      </c>
      <c r="N8">
        <v>11.4677317142486</v>
      </c>
      <c r="O8">
        <v>3</v>
      </c>
      <c r="P8">
        <v>8</v>
      </c>
      <c r="Q8">
        <v>24</v>
      </c>
      <c r="R8">
        <v>1302</v>
      </c>
      <c r="S8">
        <f t="shared" si="0"/>
        <v>0.19112886190414333</v>
      </c>
      <c r="T8">
        <f>SQRT((A8-K8)^2+(B8-L8)^2+(C8-M8)^2)</f>
        <v>2.2062077755158382</v>
      </c>
    </row>
    <row r="9" spans="1:20" x14ac:dyDescent="0.25">
      <c r="A9">
        <v>3.6092060115708602</v>
      </c>
      <c r="B9">
        <v>3.1489106390275001</v>
      </c>
      <c r="C9">
        <v>2.7437010335273699</v>
      </c>
      <c r="D9">
        <v>15.2903089523315</v>
      </c>
      <c r="E9">
        <v>4</v>
      </c>
      <c r="F9">
        <v>36</v>
      </c>
      <c r="G9">
        <v>111</v>
      </c>
      <c r="H9">
        <v>5958</v>
      </c>
      <c r="I9">
        <v>8</v>
      </c>
      <c r="J9">
        <v>14.1304054260253</v>
      </c>
      <c r="K9">
        <v>5.0510871243150497</v>
      </c>
      <c r="L9">
        <v>4.8069157193080203</v>
      </c>
      <c r="M9">
        <v>2.2512160004133799</v>
      </c>
      <c r="N9">
        <v>15.2903089523315</v>
      </c>
      <c r="O9">
        <v>4</v>
      </c>
      <c r="P9">
        <v>5</v>
      </c>
      <c r="Q9">
        <v>18</v>
      </c>
      <c r="R9">
        <v>851</v>
      </c>
      <c r="S9">
        <f t="shared" si="0"/>
        <v>0.25483848253885832</v>
      </c>
      <c r="T9">
        <f>SQRT((A9-K9)^2+(B9-L9)^2+(C9-M9)^2)</f>
        <v>2.2517867344323985</v>
      </c>
    </row>
    <row r="10" spans="1:20" x14ac:dyDescent="0.25">
      <c r="A10">
        <v>3.4869930206014201</v>
      </c>
      <c r="B10">
        <v>3.1760342206240102</v>
      </c>
      <c r="C10">
        <v>2.7115137659284598</v>
      </c>
      <c r="D10">
        <v>19.1128861904144</v>
      </c>
      <c r="E10">
        <v>5</v>
      </c>
      <c r="F10">
        <v>25</v>
      </c>
      <c r="G10">
        <v>84</v>
      </c>
      <c r="H10">
        <v>4584</v>
      </c>
      <c r="I10">
        <v>8</v>
      </c>
      <c r="J10">
        <v>16.282028198242099</v>
      </c>
      <c r="K10">
        <v>4.9820098937809503</v>
      </c>
      <c r="L10">
        <v>4.75060625442784</v>
      </c>
      <c r="M10">
        <v>2.0680506961470599</v>
      </c>
      <c r="P10">
        <v>7</v>
      </c>
      <c r="Q10">
        <v>19</v>
      </c>
      <c r="R10">
        <v>1000</v>
      </c>
      <c r="S10">
        <f t="shared" si="0"/>
        <v>0.31854810317357335</v>
      </c>
      <c r="T10">
        <f>SQRT((A10-'[1]231107_WT_4_Cell 2_Kar9_1_20'!M5)^2+(B10-'[1]231107_WT_4_Cell 2_Kar9_1_20'!N5)^2+(C10-'[1]231107_WT_4_Cell 2_Kar9_1_20'!O5)^2)</f>
        <v>2.2645964900840792</v>
      </c>
    </row>
    <row r="11" spans="1:20" x14ac:dyDescent="0.25">
      <c r="A11">
        <v>3.35323948210638</v>
      </c>
      <c r="B11">
        <v>3.1184167306999102</v>
      </c>
      <c r="C11">
        <v>2.7361945294257</v>
      </c>
      <c r="D11">
        <v>22.9354634284973</v>
      </c>
      <c r="E11">
        <v>6</v>
      </c>
      <c r="F11">
        <v>27</v>
      </c>
      <c r="G11">
        <v>76</v>
      </c>
      <c r="H11">
        <v>4106</v>
      </c>
      <c r="I11">
        <v>8</v>
      </c>
      <c r="J11">
        <v>8.0440959930419904</v>
      </c>
      <c r="K11">
        <v>4.9278905609856798</v>
      </c>
      <c r="L11">
        <v>4.71198230055019</v>
      </c>
      <c r="M11">
        <v>2.2136005066655602</v>
      </c>
      <c r="P11">
        <v>4</v>
      </c>
      <c r="Q11">
        <v>10</v>
      </c>
      <c r="R11">
        <v>546</v>
      </c>
      <c r="S11">
        <f t="shared" si="0"/>
        <v>0.38225772380828832</v>
      </c>
      <c r="T11">
        <f>SQRT((A11-'[1]231107_WT_4_Cell 2_Kar9_1_20'!M6)^2+(B11-'[1]231107_WT_4_Cell 2_Kar9_1_20'!N6)^2+(C11-'[1]231107_WT_4_Cell 2_Kar9_1_20'!O6)^2)</f>
        <v>2.3004525116273569</v>
      </c>
    </row>
    <row r="12" spans="1:20" x14ac:dyDescent="0.25">
      <c r="A12">
        <v>3.16157528623887</v>
      </c>
      <c r="B12">
        <v>3.0749767231853902</v>
      </c>
      <c r="C12">
        <v>2.8160456308947999</v>
      </c>
      <c r="D12">
        <v>26.7580406665802</v>
      </c>
      <c r="E12">
        <v>7</v>
      </c>
      <c r="F12">
        <v>26</v>
      </c>
      <c r="G12">
        <v>73</v>
      </c>
      <c r="H12">
        <v>4020</v>
      </c>
      <c r="I12">
        <v>8</v>
      </c>
      <c r="J12">
        <v>16.3088054656982</v>
      </c>
      <c r="K12">
        <v>4.8615520466666897</v>
      </c>
      <c r="L12">
        <v>4.6902028778517399</v>
      </c>
      <c r="M12">
        <v>2.1622750554902002</v>
      </c>
      <c r="P12">
        <v>6</v>
      </c>
      <c r="Q12">
        <v>19</v>
      </c>
      <c r="R12">
        <v>1000</v>
      </c>
      <c r="S12">
        <f t="shared" si="0"/>
        <v>0.44596734444300334</v>
      </c>
      <c r="T12">
        <f>SQRT((A12-'[1]231107_WT_4_Cell 2_Kar9_1_20'!M7)^2+(B12-'[1]231107_WT_4_Cell 2_Kar9_1_20'!N7)^2+(C12-'[1]231107_WT_4_Cell 2_Kar9_1_20'!O7)^2)</f>
        <v>2.434397765768316</v>
      </c>
    </row>
    <row r="13" spans="1:20" x14ac:dyDescent="0.25">
      <c r="A13">
        <v>3.06124754536178</v>
      </c>
      <c r="B13">
        <v>2.9564371353393399</v>
      </c>
      <c r="C13">
        <v>2.5970175182121</v>
      </c>
      <c r="D13">
        <v>30.580617904663001</v>
      </c>
      <c r="E13">
        <v>8</v>
      </c>
      <c r="F13">
        <v>47</v>
      </c>
      <c r="G13">
        <v>138</v>
      </c>
      <c r="H13">
        <v>7426</v>
      </c>
      <c r="I13">
        <v>8</v>
      </c>
      <c r="J13">
        <v>4.26887702941894</v>
      </c>
      <c r="K13">
        <v>4.7085841636375001</v>
      </c>
      <c r="L13">
        <v>4.6721543298665997</v>
      </c>
      <c r="M13">
        <v>2.4288447762512</v>
      </c>
      <c r="P13">
        <v>1</v>
      </c>
      <c r="Q13">
        <v>5</v>
      </c>
      <c r="R13">
        <v>277</v>
      </c>
      <c r="S13">
        <f t="shared" si="0"/>
        <v>0.50967696507771665</v>
      </c>
      <c r="T13">
        <f>SQRT((A13-'[1]231107_WT_4_Cell 2_Kar9_1_20'!M8)^2+(B13-'[1]231107_WT_4_Cell 2_Kar9_1_20'!N8)^2+(C13-'[1]231107_WT_4_Cell 2_Kar9_1_20'!O8)^2)</f>
        <v>2.3844675499253967</v>
      </c>
    </row>
    <row r="14" spans="1:20" x14ac:dyDescent="0.25">
      <c r="A14">
        <v>2.9581775559782302</v>
      </c>
      <c r="B14">
        <v>2.8561016607609599</v>
      </c>
      <c r="C14">
        <v>2.5955121068113902</v>
      </c>
      <c r="D14">
        <v>34.403195142745901</v>
      </c>
      <c r="E14">
        <v>9</v>
      </c>
      <c r="F14">
        <v>55</v>
      </c>
      <c r="G14">
        <v>155</v>
      </c>
      <c r="H14">
        <v>8690</v>
      </c>
      <c r="I14">
        <v>8</v>
      </c>
      <c r="J14">
        <v>5.00795221328735</v>
      </c>
      <c r="K14">
        <v>4.5282340225263198</v>
      </c>
      <c r="L14">
        <v>4.6478472597496197</v>
      </c>
      <c r="M14">
        <v>2.4171605062748398</v>
      </c>
      <c r="P14">
        <v>3</v>
      </c>
      <c r="Q14">
        <v>7</v>
      </c>
      <c r="R14">
        <v>400</v>
      </c>
      <c r="S14">
        <f t="shared" si="0"/>
        <v>0.57338658571243173</v>
      </c>
      <c r="T14">
        <f>SQRT((A14-'[1]231107_WT_4_Cell 2_Kar9_1_20'!M9)^2+(B14-'[1]231107_WT_4_Cell 2_Kar9_1_20'!N9)^2+(C14-'[1]231107_WT_4_Cell 2_Kar9_1_20'!O9)^2)</f>
        <v>2.3889828155636978</v>
      </c>
    </row>
    <row r="15" spans="1:20" x14ac:dyDescent="0.25">
      <c r="A15">
        <v>2.86493125456205</v>
      </c>
      <c r="B15">
        <v>2.81145155312965</v>
      </c>
      <c r="C15">
        <v>2.6465310190895899</v>
      </c>
      <c r="D15">
        <v>38.225772380828801</v>
      </c>
      <c r="E15">
        <v>10</v>
      </c>
      <c r="F15">
        <v>36</v>
      </c>
      <c r="G15">
        <v>92</v>
      </c>
      <c r="H15">
        <v>5192</v>
      </c>
      <c r="I15">
        <v>8</v>
      </c>
      <c r="J15">
        <v>7.1753506660461399</v>
      </c>
      <c r="K15">
        <v>4.5002203780890602</v>
      </c>
      <c r="L15">
        <v>4.5952762980677004</v>
      </c>
      <c r="M15">
        <v>2.1819425813951101</v>
      </c>
      <c r="P15">
        <v>4</v>
      </c>
      <c r="Q15">
        <v>9</v>
      </c>
      <c r="R15">
        <v>581</v>
      </c>
      <c r="S15">
        <f t="shared" si="0"/>
        <v>0.6370962063471467</v>
      </c>
      <c r="T15">
        <f>SQRT((A15-'[1]231107_WT_4_Cell 2_Kar9_1_20'!M10)^2+(B15-'[1]231107_WT_4_Cell 2_Kar9_1_20'!N10)^2+(C15-'[1]231107_WT_4_Cell 2_Kar9_1_20'!O10)^2)</f>
        <v>2.4641517109582427</v>
      </c>
    </row>
    <row r="16" spans="1:20" x14ac:dyDescent="0.25">
      <c r="A16">
        <v>2.7192789600145901</v>
      </c>
      <c r="B16">
        <v>2.7538384274336698</v>
      </c>
      <c r="C16">
        <v>2.7611402339320801</v>
      </c>
      <c r="D16">
        <v>42.048349618911701</v>
      </c>
      <c r="E16">
        <v>11</v>
      </c>
      <c r="F16">
        <v>32</v>
      </c>
      <c r="G16">
        <v>71</v>
      </c>
      <c r="H16">
        <v>4049</v>
      </c>
      <c r="I16">
        <v>8</v>
      </c>
      <c r="J16">
        <v>4.3151292800903303</v>
      </c>
      <c r="K16">
        <v>4.3977583638391602</v>
      </c>
      <c r="L16">
        <v>4.4919879182840203</v>
      </c>
      <c r="M16">
        <v>2.1126232935499401</v>
      </c>
      <c r="P16">
        <v>3</v>
      </c>
      <c r="Q16">
        <v>6</v>
      </c>
      <c r="R16">
        <v>400</v>
      </c>
      <c r="S16">
        <f t="shared" si="0"/>
        <v>0.70080582698186167</v>
      </c>
      <c r="T16">
        <f>SQRT((A16-'[1]231107_WT_4_Cell 2_Kar9_1_20'!M11)^2+(B16-'[1]231107_WT_4_Cell 2_Kar9_1_20'!N11)^2+(C16-'[1]231107_WT_4_Cell 2_Kar9_1_20'!O11)^2)</f>
        <v>2.5018055447155017</v>
      </c>
    </row>
    <row r="17" spans="1:20" x14ac:dyDescent="0.25">
      <c r="A17">
        <v>2.7238988527672898</v>
      </c>
      <c r="B17">
        <v>2.6067053347592899</v>
      </c>
      <c r="C17">
        <v>2.74668573533503</v>
      </c>
      <c r="D17">
        <v>45.8709268569946</v>
      </c>
      <c r="E17">
        <v>12</v>
      </c>
      <c r="F17">
        <v>21</v>
      </c>
      <c r="G17">
        <v>64</v>
      </c>
      <c r="H17">
        <v>3416</v>
      </c>
      <c r="I17">
        <v>8</v>
      </c>
      <c r="J17">
        <v>6.5170726776123002</v>
      </c>
      <c r="K17">
        <v>4.2520566099234101</v>
      </c>
      <c r="L17">
        <v>4.4835240358827502</v>
      </c>
      <c r="M17">
        <v>2.11632248216557</v>
      </c>
      <c r="P17">
        <v>3</v>
      </c>
      <c r="Q17">
        <v>8</v>
      </c>
      <c r="R17">
        <v>405</v>
      </c>
      <c r="S17">
        <f t="shared" si="0"/>
        <v>0.76451544761657664</v>
      </c>
      <c r="T17">
        <f>SQRT((A17-'[1]231107_WT_4_Cell 2_Kar9_1_20'!M12)^2+(B17-'[1]231107_WT_4_Cell 2_Kar9_1_20'!N12)^2+(C17-'[1]231107_WT_4_Cell 2_Kar9_1_20'!O12)^2)</f>
        <v>2.5010142739675763</v>
      </c>
    </row>
    <row r="18" spans="1:20" x14ac:dyDescent="0.25">
      <c r="A18">
        <v>2.65010288930949</v>
      </c>
      <c r="B18">
        <v>2.4178187612467701</v>
      </c>
      <c r="C18">
        <v>2.8522738511539298</v>
      </c>
      <c r="D18">
        <v>49.6935040950775</v>
      </c>
      <c r="E18">
        <v>13</v>
      </c>
      <c r="F18">
        <v>16</v>
      </c>
      <c r="G18">
        <v>50</v>
      </c>
      <c r="H18">
        <v>2644</v>
      </c>
      <c r="I18">
        <v>8</v>
      </c>
      <c r="J18">
        <v>2.7617192268371502</v>
      </c>
      <c r="K18">
        <v>4.1414713289832301</v>
      </c>
      <c r="L18">
        <v>4.5463326345671202</v>
      </c>
      <c r="M18">
        <v>2.15710365366846</v>
      </c>
      <c r="P18">
        <v>1</v>
      </c>
      <c r="Q18">
        <v>4</v>
      </c>
      <c r="R18">
        <v>187</v>
      </c>
      <c r="S18">
        <f t="shared" si="0"/>
        <v>0.82822506825129172</v>
      </c>
      <c r="T18">
        <f>SQRT((A18-'[1]231107_WT_4_Cell 2_Kar9_1_20'!M13)^2+(B18-'[1]231107_WT_4_Cell 2_Kar9_1_20'!N13)^2+(C18-'[1]231107_WT_4_Cell 2_Kar9_1_20'!O13)^2)</f>
        <v>2.6903555035058235</v>
      </c>
    </row>
    <row r="19" spans="1:20" x14ac:dyDescent="0.25">
      <c r="A19">
        <v>2.50468616620027</v>
      </c>
      <c r="B19">
        <v>2.3388115801238798</v>
      </c>
      <c r="C19">
        <v>2.6919180540859702</v>
      </c>
      <c r="D19">
        <v>53.5160813331604</v>
      </c>
      <c r="E19">
        <v>14</v>
      </c>
      <c r="F19">
        <v>27</v>
      </c>
      <c r="G19">
        <v>75</v>
      </c>
      <c r="H19">
        <v>3930</v>
      </c>
      <c r="I19">
        <v>8</v>
      </c>
      <c r="J19">
        <v>2.9085240364074698</v>
      </c>
      <c r="K19">
        <v>4.0092019012385904</v>
      </c>
      <c r="L19">
        <v>4.35702919260076</v>
      </c>
      <c r="M19">
        <v>2.1146071368695498</v>
      </c>
      <c r="P19">
        <v>1</v>
      </c>
      <c r="Q19">
        <v>4</v>
      </c>
      <c r="R19">
        <v>171</v>
      </c>
      <c r="S19">
        <f t="shared" si="0"/>
        <v>0.89193468888600669</v>
      </c>
      <c r="T19">
        <f>SQRT((A19-'[1]231107_WT_4_Cell 2_Kar9_1_20'!M14)^2+(B19-'[1]231107_WT_4_Cell 2_Kar9_1_20'!N14)^2+(C19-'[1]231107_WT_4_Cell 2_Kar9_1_20'!O14)^2)</f>
        <v>2.5826455086649118</v>
      </c>
    </row>
    <row r="20" spans="1:20" x14ac:dyDescent="0.25">
      <c r="A20">
        <v>2.30266798977808</v>
      </c>
      <c r="B20">
        <v>2.2871098761741502</v>
      </c>
      <c r="C20">
        <v>2.6052830862379901</v>
      </c>
      <c r="D20">
        <v>57.338658571243201</v>
      </c>
      <c r="E20">
        <v>15</v>
      </c>
      <c r="F20">
        <v>27</v>
      </c>
      <c r="G20">
        <v>88</v>
      </c>
      <c r="H20">
        <v>4684</v>
      </c>
      <c r="I20">
        <v>8</v>
      </c>
      <c r="J20">
        <v>3.02525687217712</v>
      </c>
      <c r="K20">
        <v>3.8183734388165602</v>
      </c>
      <c r="L20">
        <v>4.4099524536378798</v>
      </c>
      <c r="M20">
        <v>2.32364282133834</v>
      </c>
      <c r="P20">
        <v>1</v>
      </c>
      <c r="Q20">
        <v>3</v>
      </c>
      <c r="R20">
        <v>160</v>
      </c>
      <c r="S20">
        <f t="shared" si="0"/>
        <v>0.95564430952071999</v>
      </c>
      <c r="T20">
        <f>SQRT((A20-'[1]231107_WT_4_Cell 2_Kar9_1_20'!M15)^2+(B20-'[1]231107_WT_4_Cell 2_Kar9_1_20'!N15)^2+(C20-'[1]231107_WT_4_Cell 2_Kar9_1_20'!O15)^2)</f>
        <v>2.6235748237377443</v>
      </c>
    </row>
    <row r="21" spans="1:20" x14ac:dyDescent="0.25">
      <c r="A21">
        <v>2.1563836552381299</v>
      </c>
      <c r="B21">
        <v>2.20470416337607</v>
      </c>
      <c r="C21">
        <v>2.7113204559138899</v>
      </c>
      <c r="D21">
        <v>61.161235809326101</v>
      </c>
      <c r="E21">
        <v>16</v>
      </c>
      <c r="F21">
        <v>23</v>
      </c>
      <c r="G21">
        <v>77</v>
      </c>
      <c r="H21">
        <v>4006</v>
      </c>
      <c r="I21">
        <v>8</v>
      </c>
      <c r="J21">
        <v>2.03995680809021</v>
      </c>
      <c r="K21">
        <v>3.71960544513394</v>
      </c>
      <c r="L21">
        <v>4.3251287943329801</v>
      </c>
      <c r="M21">
        <v>2.2158432794961702</v>
      </c>
      <c r="P21">
        <v>1</v>
      </c>
      <c r="Q21">
        <v>2</v>
      </c>
      <c r="R21">
        <v>117</v>
      </c>
      <c r="S21">
        <f t="shared" si="0"/>
        <v>1.0193539301554351</v>
      </c>
      <c r="T21">
        <f>SQRT((A21-'[1]231107_WT_4_Cell 2_Kar9_1_20'!M16)^2+(B21-'[1]231107_WT_4_Cell 2_Kar9_1_20'!N16)^2+(C21-'[1]231107_WT_4_Cell 2_Kar9_1_20'!O16)^2)</f>
        <v>2.6805522961368773</v>
      </c>
    </row>
    <row r="22" spans="1:20" x14ac:dyDescent="0.25">
      <c r="A22">
        <v>2.0245054386433399</v>
      </c>
      <c r="B22">
        <v>2.17479506429998</v>
      </c>
      <c r="C22">
        <v>2.58449024499691</v>
      </c>
      <c r="D22">
        <v>64.983813047409001</v>
      </c>
      <c r="E22">
        <v>17</v>
      </c>
      <c r="F22">
        <v>19</v>
      </c>
      <c r="G22">
        <v>66</v>
      </c>
      <c r="H22">
        <v>3549</v>
      </c>
      <c r="I22">
        <v>8</v>
      </c>
      <c r="J22">
        <v>2.1122906208038299</v>
      </c>
      <c r="K22">
        <v>3.7408519219796501</v>
      </c>
      <c r="L22">
        <v>4.3631850174897497</v>
      </c>
      <c r="M22">
        <v>2.7024522377288802</v>
      </c>
      <c r="P22">
        <v>0</v>
      </c>
      <c r="Q22">
        <v>2</v>
      </c>
      <c r="R22">
        <v>80</v>
      </c>
      <c r="S22">
        <f t="shared" si="0"/>
        <v>1.08306355079015</v>
      </c>
      <c r="T22">
        <f>SQRT((A22-'[1]231107_WT_4_Cell 2_Kar9_1_20'!M17)^2+(B22-'[1]231107_WT_4_Cell 2_Kar9_1_20'!N17)^2+(C22-'[1]231107_WT_4_Cell 2_Kar9_1_20'!O17)^2)</f>
        <v>2.7836685991353458</v>
      </c>
    </row>
    <row r="23" spans="1:20" x14ac:dyDescent="0.25">
      <c r="A23">
        <v>1.95417636252828</v>
      </c>
      <c r="B23">
        <v>2.02823170542755</v>
      </c>
      <c r="C23">
        <v>2.6760637258486102</v>
      </c>
      <c r="D23">
        <v>68.806390285491901</v>
      </c>
      <c r="E23">
        <v>18</v>
      </c>
      <c r="F23">
        <v>22</v>
      </c>
      <c r="G23">
        <v>73</v>
      </c>
      <c r="H23">
        <v>3866</v>
      </c>
      <c r="I23">
        <v>8</v>
      </c>
      <c r="J23">
        <v>3.0264101028442298</v>
      </c>
      <c r="K23">
        <v>3.6644241314459198</v>
      </c>
      <c r="L23">
        <v>4.3496207005984102</v>
      </c>
      <c r="M23">
        <v>2.4425559551675602</v>
      </c>
      <c r="P23">
        <v>1</v>
      </c>
      <c r="Q23">
        <v>3</v>
      </c>
      <c r="R23">
        <v>159</v>
      </c>
      <c r="S23">
        <f t="shared" si="0"/>
        <v>1.146773171424865</v>
      </c>
      <c r="T23">
        <f>SQRT((A23-'[1]231107_WT_4_Cell 2_Kar9_1_20'!M18)^2+(B23-'[1]231107_WT_4_Cell 2_Kar9_1_20'!N18)^2+(C23-'[1]231107_WT_4_Cell 2_Kar9_1_20'!O18)^2)</f>
        <v>2.892804897838182</v>
      </c>
    </row>
    <row r="24" spans="1:20" x14ac:dyDescent="0.25">
      <c r="A24">
        <v>1.8693719758581999</v>
      </c>
      <c r="B24">
        <v>1.98063246088377</v>
      </c>
      <c r="C24">
        <v>2.7574292535601401</v>
      </c>
      <c r="D24">
        <v>72.628967523574801</v>
      </c>
      <c r="E24">
        <v>19</v>
      </c>
      <c r="F24">
        <v>15</v>
      </c>
      <c r="G24">
        <v>49</v>
      </c>
      <c r="H24">
        <v>2569</v>
      </c>
      <c r="S24">
        <f t="shared" si="0"/>
        <v>1.21048279205958</v>
      </c>
      <c r="T24">
        <f>AVERAGE(T5:T23)</f>
        <v>2.4464693773904558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2_SPB_new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2024-05-21T19:05:11Z</dcterms:created>
  <dcterms:modified xsi:type="dcterms:W3CDTF">2024-05-27T00:28:57Z</dcterms:modified>
</cp:coreProperties>
</file>