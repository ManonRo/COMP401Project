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Elyra\STACKS\1minute_3second updated\WT Anaphase A\"/>
    </mc:Choice>
  </mc:AlternateContent>
  <xr:revisionPtr revIDLastSave="0" documentId="13_ncr:1_{3DD1C576-E854-494E-884C-19B5BC1EC0E1}" xr6:coauthVersionLast="45" xr6:coauthVersionMax="45" xr10:uidLastSave="{00000000-0000-0000-0000-000000000000}"/>
  <bookViews>
    <workbookView xWindow="31080" yWindow="810" windowWidth="23790" windowHeight="13980" xr2:uid="{00000000-000D-0000-FFFF-FFFF00000000}"/>
  </bookViews>
  <sheets>
    <sheet name="231107_WT_4_Cell 4_SPB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Z21" i="1" l="1"/>
  <c r="Z6" i="1" l="1"/>
  <c r="Z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5" i="1"/>
</calcChain>
</file>

<file path=xl/sharedStrings.xml><?xml version="1.0" encoding="utf-8"?>
<sst xmlns="http://schemas.openxmlformats.org/spreadsheetml/2006/main" count="46" uniqueCount="33">
  <si>
    <t>TRACK_ID</t>
  </si>
  <si>
    <t>POSITION_X</t>
  </si>
  <si>
    <t>POSITION_Y</t>
  </si>
  <si>
    <t>POSITION_Z</t>
  </si>
  <si>
    <t>POSITION_T</t>
  </si>
  <si>
    <t>FRAME</t>
  </si>
  <si>
    <t>MEAN_INTENSITY_CH1</t>
  </si>
  <si>
    <t>MEDIAN_INTENSITY_CH1</t>
  </si>
  <si>
    <t>MIN_INTENSITY_CH1</t>
  </si>
  <si>
    <t>MAX_INTENSITY_CH1</t>
  </si>
  <si>
    <t>TOTAL_INTENSITY_CH1</t>
  </si>
  <si>
    <t>STD_INTENSITY_CH1</t>
  </si>
  <si>
    <t>Track ID</t>
  </si>
  <si>
    <t>X</t>
  </si>
  <si>
    <t>Y</t>
  </si>
  <si>
    <t>Z</t>
  </si>
  <si>
    <t>T</t>
  </si>
  <si>
    <t>Frame</t>
  </si>
  <si>
    <t>Mean intensity ch1</t>
  </si>
  <si>
    <t>Median intensity ch1</t>
  </si>
  <si>
    <t>Min intensity ch1</t>
  </si>
  <si>
    <t>Max intensity ch1</t>
  </si>
  <si>
    <t>Sum intensity ch1</t>
  </si>
  <si>
    <t>Std intensity ch1</t>
  </si>
  <si>
    <t>Mean ch1</t>
  </si>
  <si>
    <t>Median ch1</t>
  </si>
  <si>
    <t>Min ch1</t>
  </si>
  <si>
    <t>Max ch1</t>
  </si>
  <si>
    <t>Sum ch1</t>
  </si>
  <si>
    <t>Std ch1</t>
  </si>
  <si>
    <t>(micron)</t>
  </si>
  <si>
    <t>(sec)</t>
  </si>
  <si>
    <t>(counts)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</si>
</sst>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0.17070713035870516"/>
                  <c:y val="-6.3841863517060365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'231107_WT_4_Cell 4_SPB'!$Y$5:$Y$20</c:f>
              <c:numCache>
                <c:formatCode>General</c:formatCode>
                <c:ptCount val="16"/>
                <c:pt idx="0">
                  <c:v>0</c:v>
                </c:pt>
                <c:pt idx="1">
                  <c:v>6.3709620634714664E-2</c:v>
                </c:pt>
                <c:pt idx="2">
                  <c:v>0.1274192412694295</c:v>
                </c:pt>
                <c:pt idx="3">
                  <c:v>0.19112886190414333</c:v>
                </c:pt>
                <c:pt idx="4">
                  <c:v>0.25483848253885832</c:v>
                </c:pt>
                <c:pt idx="5">
                  <c:v>0.31854810317357335</c:v>
                </c:pt>
                <c:pt idx="6">
                  <c:v>0.38225772380828832</c:v>
                </c:pt>
                <c:pt idx="7">
                  <c:v>0.44596734444300334</c:v>
                </c:pt>
                <c:pt idx="8">
                  <c:v>0.50967696507771665</c:v>
                </c:pt>
                <c:pt idx="9">
                  <c:v>0.57338658571243173</c:v>
                </c:pt>
                <c:pt idx="10">
                  <c:v>0.6370962063471467</c:v>
                </c:pt>
                <c:pt idx="11">
                  <c:v>0.70080582698186167</c:v>
                </c:pt>
                <c:pt idx="12">
                  <c:v>0.76451544761657664</c:v>
                </c:pt>
                <c:pt idx="13">
                  <c:v>0.82822506825129172</c:v>
                </c:pt>
                <c:pt idx="14">
                  <c:v>0.89193468888600669</c:v>
                </c:pt>
                <c:pt idx="15">
                  <c:v>0.95564430952071999</c:v>
                </c:pt>
              </c:numCache>
            </c:numRef>
          </c:xVal>
          <c:yVal>
            <c:numRef>
              <c:f>'231107_WT_4_Cell 4_SPB'!$Z$5:$Z$20</c:f>
              <c:numCache>
                <c:formatCode>General</c:formatCode>
                <c:ptCount val="16"/>
                <c:pt idx="0">
                  <c:v>3.5574986483030981</c:v>
                </c:pt>
                <c:pt idx="1">
                  <c:v>3.5232178710914646</c:v>
                </c:pt>
                <c:pt idx="2">
                  <c:v>3.4115079271711357</c:v>
                </c:pt>
                <c:pt idx="3">
                  <c:v>3.3596272826372933</c:v>
                </c:pt>
                <c:pt idx="4">
                  <c:v>3.4120425373501648</c:v>
                </c:pt>
                <c:pt idx="5">
                  <c:v>3.3823806007794244</c:v>
                </c:pt>
                <c:pt idx="6">
                  <c:v>3.4409316942839951</c:v>
                </c:pt>
                <c:pt idx="7">
                  <c:v>3.4586877528756692</c:v>
                </c:pt>
                <c:pt idx="8">
                  <c:v>3.4158573540756363</c:v>
                </c:pt>
                <c:pt idx="9">
                  <c:v>3.4984642252329805</c:v>
                </c:pt>
                <c:pt idx="10">
                  <c:v>3.4814204152384511</c:v>
                </c:pt>
                <c:pt idx="11">
                  <c:v>3.4895620552712385</c:v>
                </c:pt>
                <c:pt idx="12">
                  <c:v>3.5993482023399004</c:v>
                </c:pt>
                <c:pt idx="13">
                  <c:v>3.6206064643904008</c:v>
                </c:pt>
                <c:pt idx="14">
                  <c:v>3.6393304061592713</c:v>
                </c:pt>
                <c:pt idx="15">
                  <c:v>3.6727815379490214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6F8-4307-8E85-DB0E23DEB4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9096688"/>
        <c:axId val="519097016"/>
      </c:scatterChart>
      <c:valAx>
        <c:axId val="5190966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9097016"/>
        <c:crosses val="autoZero"/>
        <c:crossBetween val="midCat"/>
      </c:valAx>
      <c:valAx>
        <c:axId val="519097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90966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504825</xdr:colOff>
      <xdr:row>24</xdr:row>
      <xdr:rowOff>19050</xdr:rowOff>
    </xdr:from>
    <xdr:to>
      <xdr:col>19</xdr:col>
      <xdr:colOff>200025</xdr:colOff>
      <xdr:row>38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A3749D8-7177-43AD-9D36-59EAEB93DB5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23"/>
  <sheetViews>
    <sheetView tabSelected="1" workbookViewId="0">
      <selection activeCell="B5" sqref="B5:F23"/>
    </sheetView>
  </sheetViews>
  <sheetFormatPr defaultRowHeight="15" x14ac:dyDescent="0.25"/>
  <sheetData>
    <row r="1" spans="1:2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26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</row>
    <row r="3" spans="1:26" x14ac:dyDescent="0.25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29</v>
      </c>
    </row>
    <row r="4" spans="1:26" x14ac:dyDescent="0.25">
      <c r="B4" t="s">
        <v>30</v>
      </c>
      <c r="C4" t="s">
        <v>30</v>
      </c>
      <c r="D4" t="s">
        <v>30</v>
      </c>
      <c r="E4" t="s">
        <v>31</v>
      </c>
      <c r="G4" t="s">
        <v>32</v>
      </c>
      <c r="H4" t="s">
        <v>32</v>
      </c>
      <c r="I4" t="s">
        <v>32</v>
      </c>
      <c r="J4" t="s">
        <v>32</v>
      </c>
      <c r="K4" t="s">
        <v>32</v>
      </c>
      <c r="L4" t="s">
        <v>32</v>
      </c>
    </row>
    <row r="5" spans="1:26" x14ac:dyDescent="0.25">
      <c r="A5">
        <v>0</v>
      </c>
      <c r="B5">
        <v>2.99094256816181</v>
      </c>
      <c r="C5">
        <v>2.15905623088315</v>
      </c>
      <c r="D5">
        <v>1.9358342241968101</v>
      </c>
      <c r="E5">
        <v>0</v>
      </c>
      <c r="F5">
        <v>0</v>
      </c>
      <c r="G5">
        <v>103.874074074074</v>
      </c>
      <c r="H5">
        <v>102</v>
      </c>
      <c r="I5">
        <v>40</v>
      </c>
      <c r="J5">
        <v>167</v>
      </c>
      <c r="K5">
        <v>14023</v>
      </c>
      <c r="L5">
        <v>31.843232986136801</v>
      </c>
      <c r="M5">
        <v>2</v>
      </c>
      <c r="N5">
        <v>5.0546752558896699</v>
      </c>
      <c r="O5">
        <v>4.5522811981656996</v>
      </c>
      <c r="P5">
        <v>3.5696268310650598</v>
      </c>
      <c r="Q5">
        <v>0</v>
      </c>
      <c r="R5">
        <v>0</v>
      </c>
      <c r="S5">
        <v>21.518518518518501</v>
      </c>
      <c r="T5">
        <v>21</v>
      </c>
      <c r="U5">
        <v>8</v>
      </c>
      <c r="V5">
        <v>34</v>
      </c>
      <c r="W5">
        <v>2905</v>
      </c>
      <c r="X5">
        <v>6.7689500187250404</v>
      </c>
      <c r="Y5">
        <f>E5/60</f>
        <v>0</v>
      </c>
      <c r="Z5">
        <f>SQRT((B5-N5)^2+(C5-O5)^2+(D5-P5)^2)</f>
        <v>3.5574986483030981</v>
      </c>
    </row>
    <row r="6" spans="1:26" x14ac:dyDescent="0.25">
      <c r="A6">
        <v>0</v>
      </c>
      <c r="B6">
        <v>2.8964589994781602</v>
      </c>
      <c r="C6">
        <v>2.2269846985153201</v>
      </c>
      <c r="D6">
        <v>2.0152892196235999</v>
      </c>
      <c r="E6">
        <v>3.82257723808288</v>
      </c>
      <c r="F6">
        <v>1</v>
      </c>
      <c r="G6">
        <v>79.074074074074005</v>
      </c>
      <c r="H6">
        <v>77</v>
      </c>
      <c r="I6">
        <v>31</v>
      </c>
      <c r="J6">
        <v>128</v>
      </c>
      <c r="K6">
        <v>10675</v>
      </c>
      <c r="L6">
        <v>24.7231324482593</v>
      </c>
      <c r="M6">
        <v>2</v>
      </c>
      <c r="N6">
        <v>5.0884071522669201</v>
      </c>
      <c r="O6">
        <v>4.6704578042257996</v>
      </c>
      <c r="P6">
        <v>3.2950808606080999</v>
      </c>
      <c r="Q6">
        <v>3.82257723808288</v>
      </c>
      <c r="R6">
        <v>1</v>
      </c>
      <c r="S6">
        <v>17.118518518518499</v>
      </c>
      <c r="T6">
        <v>17</v>
      </c>
      <c r="U6">
        <v>7</v>
      </c>
      <c r="V6">
        <v>27</v>
      </c>
      <c r="W6">
        <v>2311</v>
      </c>
      <c r="X6">
        <v>5.2675461616347503</v>
      </c>
      <c r="Y6">
        <f t="shared" ref="Y6:Y20" si="0">E6/60</f>
        <v>6.3709620634714664E-2</v>
      </c>
      <c r="Z6">
        <f t="shared" ref="Z6:Z20" si="1">SQRT((B6-N6)^2+(C6-O6)^2+(D6-P6)^2)</f>
        <v>3.5232178710914646</v>
      </c>
    </row>
    <row r="7" spans="1:26" x14ac:dyDescent="0.25">
      <c r="A7">
        <v>0</v>
      </c>
      <c r="B7">
        <v>2.90751021210398</v>
      </c>
      <c r="C7">
        <v>2.0364370801684299</v>
      </c>
      <c r="D7">
        <v>2.3833831759336199</v>
      </c>
      <c r="E7">
        <v>7.6451544761657697</v>
      </c>
      <c r="F7">
        <v>2</v>
      </c>
      <c r="G7">
        <v>109.614814814814</v>
      </c>
      <c r="H7">
        <v>103</v>
      </c>
      <c r="I7">
        <v>47</v>
      </c>
      <c r="J7">
        <v>186</v>
      </c>
      <c r="K7">
        <v>14798</v>
      </c>
      <c r="L7">
        <v>35.187766103590199</v>
      </c>
      <c r="M7">
        <v>2</v>
      </c>
      <c r="N7">
        <v>5.0030134601341301</v>
      </c>
      <c r="O7">
        <v>4.64057699942098</v>
      </c>
      <c r="P7">
        <v>3.0658110150506301</v>
      </c>
      <c r="Q7">
        <v>7.6451544761657697</v>
      </c>
      <c r="R7">
        <v>2</v>
      </c>
      <c r="S7">
        <v>11.481481481481399</v>
      </c>
      <c r="T7">
        <v>11</v>
      </c>
      <c r="U7">
        <v>5</v>
      </c>
      <c r="V7">
        <v>18</v>
      </c>
      <c r="W7">
        <v>1550</v>
      </c>
      <c r="X7">
        <v>3.18075334137753</v>
      </c>
      <c r="Y7">
        <f t="shared" si="0"/>
        <v>0.1274192412694295</v>
      </c>
      <c r="Z7">
        <f t="shared" si="1"/>
        <v>3.4115079271711357</v>
      </c>
    </row>
    <row r="8" spans="1:26" x14ac:dyDescent="0.25">
      <c r="A8">
        <v>0</v>
      </c>
      <c r="B8">
        <v>2.6621127980621599</v>
      </c>
      <c r="C8">
        <v>1.9053395033487499</v>
      </c>
      <c r="D8">
        <v>2.4405719183402099</v>
      </c>
      <c r="E8">
        <v>11.4677317142486</v>
      </c>
      <c r="F8">
        <v>3</v>
      </c>
      <c r="G8">
        <v>65.681481481481399</v>
      </c>
      <c r="H8">
        <v>58</v>
      </c>
      <c r="I8">
        <v>26</v>
      </c>
      <c r="J8">
        <v>120</v>
      </c>
      <c r="K8">
        <v>8867</v>
      </c>
      <c r="L8">
        <v>25.078280979630701</v>
      </c>
      <c r="M8">
        <v>2</v>
      </c>
      <c r="N8">
        <v>4.8527446726864998</v>
      </c>
      <c r="O8">
        <v>4.4166432607244301</v>
      </c>
      <c r="P8">
        <v>2.8666950300244798</v>
      </c>
      <c r="Q8">
        <v>11.4677317142486</v>
      </c>
      <c r="R8">
        <v>3</v>
      </c>
      <c r="S8">
        <v>14.1259259259259</v>
      </c>
      <c r="T8">
        <v>14</v>
      </c>
      <c r="U8">
        <v>5</v>
      </c>
      <c r="V8">
        <v>25</v>
      </c>
      <c r="W8">
        <v>1907</v>
      </c>
      <c r="X8">
        <v>5.1636352311566496</v>
      </c>
      <c r="Y8">
        <f t="shared" si="0"/>
        <v>0.19112886190414333</v>
      </c>
      <c r="Z8">
        <f t="shared" si="1"/>
        <v>3.3596272826372933</v>
      </c>
    </row>
    <row r="9" spans="1:26" x14ac:dyDescent="0.25">
      <c r="A9">
        <v>0</v>
      </c>
      <c r="B9">
        <v>2.5259751877380299</v>
      </c>
      <c r="C9">
        <v>1.8035265073208999</v>
      </c>
      <c r="D9">
        <v>2.4861439594926602</v>
      </c>
      <c r="E9">
        <v>15.2903089523315</v>
      </c>
      <c r="F9">
        <v>4</v>
      </c>
      <c r="G9">
        <v>49.962962962962898</v>
      </c>
      <c r="H9">
        <v>47</v>
      </c>
      <c r="I9">
        <v>14</v>
      </c>
      <c r="J9">
        <v>90</v>
      </c>
      <c r="K9">
        <v>6745</v>
      </c>
      <c r="L9">
        <v>19.547648408939398</v>
      </c>
      <c r="M9">
        <v>2</v>
      </c>
      <c r="N9">
        <v>4.8239035128098502</v>
      </c>
      <c r="O9">
        <v>4.2981953713709498</v>
      </c>
      <c r="P9">
        <v>2.8578790106498002</v>
      </c>
      <c r="Q9">
        <v>15.2903089523315</v>
      </c>
      <c r="R9">
        <v>4</v>
      </c>
      <c r="S9">
        <v>10.066666666666601</v>
      </c>
      <c r="T9">
        <v>10</v>
      </c>
      <c r="U9">
        <v>3</v>
      </c>
      <c r="V9">
        <v>18</v>
      </c>
      <c r="W9">
        <v>1359</v>
      </c>
      <c r="X9">
        <v>3.9269448076574802</v>
      </c>
      <c r="Y9">
        <f t="shared" si="0"/>
        <v>0.25483848253885832</v>
      </c>
      <c r="Z9">
        <f t="shared" si="1"/>
        <v>3.4120425373501648</v>
      </c>
    </row>
    <row r="10" spans="1:26" x14ac:dyDescent="0.25">
      <c r="A10">
        <v>0</v>
      </c>
      <c r="B10">
        <v>2.4364384433851001</v>
      </c>
      <c r="C10">
        <v>1.73022360211183</v>
      </c>
      <c r="D10">
        <v>2.4702512327881498</v>
      </c>
      <c r="E10">
        <v>19.1128861904144</v>
      </c>
      <c r="F10">
        <v>5</v>
      </c>
      <c r="G10">
        <v>42.859259259259197</v>
      </c>
      <c r="H10">
        <v>41</v>
      </c>
      <c r="I10">
        <v>16</v>
      </c>
      <c r="J10">
        <v>79</v>
      </c>
      <c r="K10">
        <v>5786</v>
      </c>
      <c r="L10">
        <v>16.784927034890899</v>
      </c>
      <c r="M10">
        <v>2</v>
      </c>
      <c r="N10">
        <v>4.8973698545047801</v>
      </c>
      <c r="O10">
        <v>4.0051254822355</v>
      </c>
      <c r="P10">
        <v>2.9275657351858699</v>
      </c>
      <c r="Q10">
        <v>19.1128861904144</v>
      </c>
      <c r="R10">
        <v>5</v>
      </c>
      <c r="S10">
        <v>13.7777777777777</v>
      </c>
      <c r="T10">
        <v>13</v>
      </c>
      <c r="U10">
        <v>4</v>
      </c>
      <c r="V10">
        <v>26</v>
      </c>
      <c r="W10">
        <v>1860</v>
      </c>
      <c r="X10">
        <v>5.6405602911421804</v>
      </c>
      <c r="Y10">
        <f t="shared" si="0"/>
        <v>0.31854810317357335</v>
      </c>
      <c r="Z10">
        <f t="shared" si="1"/>
        <v>3.3823806007794244</v>
      </c>
    </row>
    <row r="11" spans="1:26" x14ac:dyDescent="0.25">
      <c r="A11">
        <v>0</v>
      </c>
      <c r="B11">
        <v>2.31519378357951</v>
      </c>
      <c r="C11">
        <v>1.59843360975976</v>
      </c>
      <c r="D11">
        <v>2.3921825356825299</v>
      </c>
      <c r="E11">
        <v>22.9354634284973</v>
      </c>
      <c r="F11">
        <v>6</v>
      </c>
      <c r="G11">
        <v>38.459259259259198</v>
      </c>
      <c r="H11">
        <v>37</v>
      </c>
      <c r="I11">
        <v>15</v>
      </c>
      <c r="J11">
        <v>68</v>
      </c>
      <c r="K11">
        <v>5192</v>
      </c>
      <c r="L11">
        <v>13.6670226058895</v>
      </c>
      <c r="M11">
        <v>2</v>
      </c>
      <c r="N11">
        <v>4.8684386674690803</v>
      </c>
      <c r="O11">
        <v>3.86733209083912</v>
      </c>
      <c r="P11">
        <v>2.8081767305646599</v>
      </c>
      <c r="Q11">
        <v>22.9354634284973</v>
      </c>
      <c r="R11">
        <v>6</v>
      </c>
      <c r="S11">
        <v>9.5407407407407394</v>
      </c>
      <c r="T11">
        <v>9</v>
      </c>
      <c r="U11">
        <v>2</v>
      </c>
      <c r="V11">
        <v>17</v>
      </c>
      <c r="W11">
        <v>1288</v>
      </c>
      <c r="X11">
        <v>3.8840718804601799</v>
      </c>
      <c r="Y11">
        <f t="shared" si="0"/>
        <v>0.38225772380828832</v>
      </c>
      <c r="Z11">
        <f t="shared" si="1"/>
        <v>3.4409316942839951</v>
      </c>
    </row>
    <row r="12" spans="1:26" x14ac:dyDescent="0.25">
      <c r="A12">
        <v>0</v>
      </c>
      <c r="B12">
        <v>2.2917328449084402</v>
      </c>
      <c r="C12">
        <v>1.57264633410016</v>
      </c>
      <c r="D12">
        <v>2.4769723273988502</v>
      </c>
      <c r="E12">
        <v>26.7580406665802</v>
      </c>
      <c r="F12">
        <v>7</v>
      </c>
      <c r="G12">
        <v>38.244444444444397</v>
      </c>
      <c r="H12">
        <v>36</v>
      </c>
      <c r="I12">
        <v>13</v>
      </c>
      <c r="J12">
        <v>71</v>
      </c>
      <c r="K12">
        <v>5163</v>
      </c>
      <c r="L12">
        <v>15.188598761515401</v>
      </c>
      <c r="M12">
        <v>2</v>
      </c>
      <c r="N12">
        <v>4.8521144319358296</v>
      </c>
      <c r="O12">
        <v>3.8517004767435501</v>
      </c>
      <c r="P12">
        <v>2.93836079236439</v>
      </c>
      <c r="Q12">
        <v>26.7580406665802</v>
      </c>
      <c r="R12">
        <v>7</v>
      </c>
      <c r="S12">
        <v>6.5851851851851801</v>
      </c>
      <c r="T12">
        <v>6</v>
      </c>
      <c r="U12">
        <v>2</v>
      </c>
      <c r="V12">
        <v>12</v>
      </c>
      <c r="W12">
        <v>889</v>
      </c>
      <c r="X12">
        <v>2.3638609487136701</v>
      </c>
      <c r="Y12">
        <f t="shared" si="0"/>
        <v>0.44596734444300334</v>
      </c>
      <c r="Z12">
        <f t="shared" si="1"/>
        <v>3.4586877528756692</v>
      </c>
    </row>
    <row r="13" spans="1:26" x14ac:dyDescent="0.25">
      <c r="A13">
        <v>0</v>
      </c>
      <c r="B13">
        <v>2.21055298931056</v>
      </c>
      <c r="C13">
        <v>1.61203322867481</v>
      </c>
      <c r="D13">
        <v>2.6453801878298502</v>
      </c>
      <c r="E13">
        <v>30.580617904663001</v>
      </c>
      <c r="F13">
        <v>8</v>
      </c>
      <c r="G13">
        <v>21.970370370370301</v>
      </c>
      <c r="H13">
        <v>22</v>
      </c>
      <c r="I13">
        <v>6</v>
      </c>
      <c r="J13">
        <v>39</v>
      </c>
      <c r="K13">
        <v>2966</v>
      </c>
      <c r="L13">
        <v>9.02479233708309</v>
      </c>
      <c r="M13">
        <v>2</v>
      </c>
      <c r="N13">
        <v>4.9378489487058603</v>
      </c>
      <c r="O13">
        <v>3.6464465970183002</v>
      </c>
      <c r="P13">
        <v>2.9472087152489301</v>
      </c>
      <c r="Q13">
        <v>30.580617904663001</v>
      </c>
      <c r="R13">
        <v>8</v>
      </c>
      <c r="S13">
        <v>4.3777777777777702</v>
      </c>
      <c r="T13">
        <v>4</v>
      </c>
      <c r="U13">
        <v>1</v>
      </c>
      <c r="V13">
        <v>8</v>
      </c>
      <c r="W13">
        <v>591</v>
      </c>
      <c r="X13">
        <v>1.8401276183301201</v>
      </c>
      <c r="Y13">
        <f t="shared" si="0"/>
        <v>0.50967696507771665</v>
      </c>
      <c r="Z13">
        <f t="shared" si="1"/>
        <v>3.4158573540756363</v>
      </c>
    </row>
    <row r="14" spans="1:26" x14ac:dyDescent="0.25">
      <c r="A14">
        <v>0</v>
      </c>
      <c r="B14">
        <v>2.1720576975573298</v>
      </c>
      <c r="C14">
        <v>1.63417074953305</v>
      </c>
      <c r="D14">
        <v>2.57858846232745</v>
      </c>
      <c r="E14">
        <v>34.403195142745901</v>
      </c>
      <c r="F14">
        <v>9</v>
      </c>
      <c r="G14">
        <v>29.459259259259198</v>
      </c>
      <c r="H14">
        <v>29</v>
      </c>
      <c r="I14">
        <v>11</v>
      </c>
      <c r="J14">
        <v>50</v>
      </c>
      <c r="K14">
        <v>3977</v>
      </c>
      <c r="L14">
        <v>10.0697292519909</v>
      </c>
      <c r="M14">
        <v>2</v>
      </c>
      <c r="N14">
        <v>4.9358244840355301</v>
      </c>
      <c r="O14">
        <v>3.6903193870087998</v>
      </c>
      <c r="P14">
        <v>3.1894058374909098</v>
      </c>
      <c r="Q14">
        <v>34.403195142745901</v>
      </c>
      <c r="R14">
        <v>9</v>
      </c>
      <c r="S14">
        <v>6.1037037037037001</v>
      </c>
      <c r="T14">
        <v>6</v>
      </c>
      <c r="U14">
        <v>2</v>
      </c>
      <c r="V14">
        <v>10</v>
      </c>
      <c r="W14">
        <v>824</v>
      </c>
      <c r="X14">
        <v>1.9822875150064201</v>
      </c>
      <c r="Y14">
        <f t="shared" si="0"/>
        <v>0.57338658571243173</v>
      </c>
      <c r="Z14">
        <f t="shared" si="1"/>
        <v>3.4984642252329805</v>
      </c>
    </row>
    <row r="15" spans="1:26" x14ac:dyDescent="0.25">
      <c r="A15">
        <v>0</v>
      </c>
      <c r="B15">
        <v>2.0744483400093201</v>
      </c>
      <c r="C15">
        <v>1.6912005771676399</v>
      </c>
      <c r="D15">
        <v>2.6765765234710002</v>
      </c>
      <c r="E15">
        <v>38.225772380828801</v>
      </c>
      <c r="F15">
        <v>10</v>
      </c>
      <c r="G15">
        <v>28.933333333333302</v>
      </c>
      <c r="H15">
        <v>28</v>
      </c>
      <c r="I15">
        <v>11</v>
      </c>
      <c r="J15">
        <v>47</v>
      </c>
      <c r="K15">
        <v>3906</v>
      </c>
      <c r="L15">
        <v>8.8090862182180896</v>
      </c>
      <c r="M15">
        <v>2</v>
      </c>
      <c r="N15">
        <v>4.9527909241534598</v>
      </c>
      <c r="O15">
        <v>3.5890937375026102</v>
      </c>
      <c r="P15">
        <v>3.1597262185917199</v>
      </c>
      <c r="Q15">
        <v>38.225772380828801</v>
      </c>
      <c r="R15">
        <v>10</v>
      </c>
      <c r="S15">
        <v>8.6592592592592599</v>
      </c>
      <c r="T15">
        <v>8</v>
      </c>
      <c r="U15">
        <v>3</v>
      </c>
      <c r="V15">
        <v>15</v>
      </c>
      <c r="W15">
        <v>1169</v>
      </c>
      <c r="X15">
        <v>3.1814831868334501</v>
      </c>
      <c r="Y15">
        <f t="shared" si="0"/>
        <v>0.6370962063471467</v>
      </c>
      <c r="Z15">
        <f t="shared" si="1"/>
        <v>3.4814204152384511</v>
      </c>
    </row>
    <row r="16" spans="1:26" x14ac:dyDescent="0.25">
      <c r="A16">
        <v>0</v>
      </c>
      <c r="B16">
        <v>2.09742682295794</v>
      </c>
      <c r="C16">
        <v>1.62659694374674</v>
      </c>
      <c r="D16">
        <v>2.65656968077294</v>
      </c>
      <c r="E16">
        <v>42.048349618911701</v>
      </c>
      <c r="F16">
        <v>11</v>
      </c>
      <c r="G16">
        <v>30.192592592592501</v>
      </c>
      <c r="H16">
        <v>28</v>
      </c>
      <c r="I16">
        <v>12</v>
      </c>
      <c r="J16">
        <v>53</v>
      </c>
      <c r="K16">
        <v>4076</v>
      </c>
      <c r="L16">
        <v>10.3674982202895</v>
      </c>
      <c r="M16">
        <v>2</v>
      </c>
      <c r="N16">
        <v>4.9451865427811503</v>
      </c>
      <c r="O16">
        <v>3.5929854643233301</v>
      </c>
      <c r="P16">
        <v>3.1044804998941902</v>
      </c>
      <c r="Q16">
        <v>42.048349618911701</v>
      </c>
      <c r="R16">
        <v>11</v>
      </c>
      <c r="S16">
        <v>6.2518518518518498</v>
      </c>
      <c r="T16">
        <v>6</v>
      </c>
      <c r="U16">
        <v>3</v>
      </c>
      <c r="V16">
        <v>11</v>
      </c>
      <c r="W16">
        <v>844</v>
      </c>
      <c r="X16">
        <v>2.14656448362632</v>
      </c>
      <c r="Y16">
        <f t="shared" si="0"/>
        <v>0.70080582698186167</v>
      </c>
      <c r="Z16">
        <f t="shared" si="1"/>
        <v>3.4895620552712385</v>
      </c>
    </row>
    <row r="17" spans="1:26" x14ac:dyDescent="0.25">
      <c r="A17">
        <v>0</v>
      </c>
      <c r="B17">
        <v>2.1767809736625399</v>
      </c>
      <c r="C17">
        <v>1.62189893016113</v>
      </c>
      <c r="D17">
        <v>2.6808594661909702</v>
      </c>
      <c r="E17">
        <v>45.8709268569946</v>
      </c>
      <c r="F17">
        <v>12</v>
      </c>
      <c r="G17">
        <v>22.044444444444402</v>
      </c>
      <c r="H17">
        <v>21</v>
      </c>
      <c r="I17">
        <v>6</v>
      </c>
      <c r="J17">
        <v>40</v>
      </c>
      <c r="K17">
        <v>2976</v>
      </c>
      <c r="L17">
        <v>9.0733879096621894</v>
      </c>
      <c r="M17">
        <v>2</v>
      </c>
      <c r="N17">
        <v>4.8960023385628704</v>
      </c>
      <c r="O17">
        <v>3.97345925028772</v>
      </c>
      <c r="P17">
        <v>2.8577964921724899</v>
      </c>
      <c r="Q17">
        <v>45.8709268569946</v>
      </c>
      <c r="R17">
        <v>12</v>
      </c>
      <c r="S17">
        <v>3.3037037037036998</v>
      </c>
      <c r="T17">
        <v>3</v>
      </c>
      <c r="U17">
        <v>1</v>
      </c>
      <c r="V17">
        <v>6</v>
      </c>
      <c r="W17">
        <v>446</v>
      </c>
      <c r="X17">
        <v>1.45209099913273</v>
      </c>
      <c r="Y17">
        <f t="shared" si="0"/>
        <v>0.76451544761657664</v>
      </c>
      <c r="Z17">
        <f t="shared" si="1"/>
        <v>3.5993482023399004</v>
      </c>
    </row>
    <row r="18" spans="1:26" x14ac:dyDescent="0.25">
      <c r="A18">
        <v>0</v>
      </c>
      <c r="B18">
        <v>2.19595230711997</v>
      </c>
      <c r="C18">
        <v>1.4250578576084101</v>
      </c>
      <c r="D18">
        <v>2.6532885917317102</v>
      </c>
      <c r="E18">
        <v>49.6935040950775</v>
      </c>
      <c r="F18">
        <v>13</v>
      </c>
      <c r="G18">
        <v>19.792592592592499</v>
      </c>
      <c r="H18">
        <v>19</v>
      </c>
      <c r="I18">
        <v>6</v>
      </c>
      <c r="J18">
        <v>35</v>
      </c>
      <c r="K18">
        <v>2672</v>
      </c>
      <c r="L18">
        <v>7.6393485463995896</v>
      </c>
      <c r="M18">
        <v>2</v>
      </c>
      <c r="N18">
        <v>4.7924734128168103</v>
      </c>
      <c r="O18">
        <v>3.94791949502038</v>
      </c>
      <c r="P18">
        <v>2.6984380782339099</v>
      </c>
      <c r="Q18">
        <v>49.6935040950775</v>
      </c>
      <c r="R18">
        <v>13</v>
      </c>
      <c r="S18">
        <v>4.5999999999999996</v>
      </c>
      <c r="T18">
        <v>4</v>
      </c>
      <c r="U18">
        <v>1</v>
      </c>
      <c r="V18">
        <v>8</v>
      </c>
      <c r="W18">
        <v>621</v>
      </c>
      <c r="X18">
        <v>1.7712462936689</v>
      </c>
      <c r="Y18">
        <f t="shared" si="0"/>
        <v>0.82822506825129172</v>
      </c>
      <c r="Z18">
        <f t="shared" si="1"/>
        <v>3.6206064643904008</v>
      </c>
    </row>
    <row r="19" spans="1:26" x14ac:dyDescent="0.25">
      <c r="A19">
        <v>0</v>
      </c>
      <c r="B19">
        <v>2.09716178666738</v>
      </c>
      <c r="C19">
        <v>1.3557064034307</v>
      </c>
      <c r="D19">
        <v>2.7568293226934601</v>
      </c>
      <c r="E19">
        <v>53.5160813331604</v>
      </c>
      <c r="F19">
        <v>14</v>
      </c>
      <c r="G19">
        <v>17.488888888888798</v>
      </c>
      <c r="H19">
        <v>17</v>
      </c>
      <c r="I19">
        <v>6</v>
      </c>
      <c r="J19">
        <v>33</v>
      </c>
      <c r="K19">
        <v>2361</v>
      </c>
      <c r="L19">
        <v>6.9998578521459098</v>
      </c>
      <c r="M19">
        <v>2</v>
      </c>
      <c r="N19">
        <v>4.661545815138</v>
      </c>
      <c r="O19">
        <v>3.93361623053159</v>
      </c>
      <c r="P19">
        <v>2.60503576862458</v>
      </c>
      <c r="Q19">
        <v>53.5160813331604</v>
      </c>
      <c r="R19">
        <v>14</v>
      </c>
      <c r="S19">
        <v>4.3407407407407401</v>
      </c>
      <c r="T19">
        <v>4</v>
      </c>
      <c r="U19">
        <v>1</v>
      </c>
      <c r="V19">
        <v>9</v>
      </c>
      <c r="W19">
        <v>586</v>
      </c>
      <c r="X19">
        <v>1.8332051817113</v>
      </c>
      <c r="Y19">
        <f t="shared" si="0"/>
        <v>0.89193468888600669</v>
      </c>
      <c r="Z19">
        <f t="shared" si="1"/>
        <v>3.6393304061592713</v>
      </c>
    </row>
    <row r="20" spans="1:26" x14ac:dyDescent="0.25">
      <c r="A20">
        <v>0</v>
      </c>
      <c r="B20">
        <v>2.0406587945894601</v>
      </c>
      <c r="C20">
        <v>1.2598797874227701</v>
      </c>
      <c r="D20">
        <v>2.8510171458942102</v>
      </c>
      <c r="E20">
        <v>57.338658571243201</v>
      </c>
      <c r="F20">
        <v>15</v>
      </c>
      <c r="G20">
        <v>18.3925925925925</v>
      </c>
      <c r="H20">
        <v>17</v>
      </c>
      <c r="I20">
        <v>6</v>
      </c>
      <c r="J20">
        <v>36</v>
      </c>
      <c r="K20">
        <v>2483</v>
      </c>
      <c r="L20">
        <v>7.6442313595971898</v>
      </c>
      <c r="M20">
        <v>2</v>
      </c>
      <c r="N20">
        <v>4.6234909718987804</v>
      </c>
      <c r="O20">
        <v>3.8691563428981199</v>
      </c>
      <c r="P20">
        <v>2.7511270743081302</v>
      </c>
      <c r="Q20">
        <v>57.338658571243201</v>
      </c>
      <c r="R20">
        <v>15</v>
      </c>
      <c r="S20">
        <v>3.45185185185185</v>
      </c>
      <c r="T20">
        <v>3</v>
      </c>
      <c r="U20">
        <v>1</v>
      </c>
      <c r="V20">
        <v>7</v>
      </c>
      <c r="W20">
        <v>466</v>
      </c>
      <c r="X20">
        <v>1.4948594428934501</v>
      </c>
      <c r="Y20">
        <f t="shared" si="0"/>
        <v>0.95564430952071999</v>
      </c>
      <c r="Z20">
        <f t="shared" si="1"/>
        <v>3.6727815379490214</v>
      </c>
    </row>
    <row r="21" spans="1:26" x14ac:dyDescent="0.25">
      <c r="A21">
        <v>0</v>
      </c>
      <c r="B21">
        <v>2.0528217771134898</v>
      </c>
      <c r="C21">
        <v>1.2105758156265201</v>
      </c>
      <c r="D21">
        <v>2.84927201794966</v>
      </c>
      <c r="E21">
        <v>61.161235809326101</v>
      </c>
      <c r="F21">
        <v>16</v>
      </c>
      <c r="G21">
        <v>14.037037037037001</v>
      </c>
      <c r="H21">
        <v>13</v>
      </c>
      <c r="I21">
        <v>3</v>
      </c>
      <c r="J21">
        <v>26</v>
      </c>
      <c r="K21">
        <v>1895</v>
      </c>
      <c r="L21">
        <v>5.9140705069608801</v>
      </c>
      <c r="Z21">
        <f>AVERAGE(Z5:Z20)</f>
        <v>3.497704060946822</v>
      </c>
    </row>
    <row r="22" spans="1:26" x14ac:dyDescent="0.25">
      <c r="A22">
        <v>0</v>
      </c>
      <c r="B22">
        <v>2.0903806757497398</v>
      </c>
      <c r="C22">
        <v>1.15954341673733</v>
      </c>
      <c r="D22">
        <v>2.89448226517443</v>
      </c>
      <c r="E22">
        <v>64.983813047409001</v>
      </c>
      <c r="F22">
        <v>17</v>
      </c>
      <c r="G22">
        <v>11.5185185185185</v>
      </c>
      <c r="H22">
        <v>11</v>
      </c>
      <c r="I22">
        <v>4</v>
      </c>
      <c r="J22">
        <v>22</v>
      </c>
      <c r="K22">
        <v>1555</v>
      </c>
      <c r="L22">
        <v>4.5282724653201702</v>
      </c>
    </row>
    <row r="23" spans="1:26" x14ac:dyDescent="0.25">
      <c r="A23">
        <v>0</v>
      </c>
      <c r="B23">
        <v>2.0720945493957901</v>
      </c>
      <c r="C23">
        <v>1.2398791384791901</v>
      </c>
      <c r="D23">
        <v>2.8492307928091698</v>
      </c>
      <c r="E23">
        <v>68.806390285491901</v>
      </c>
      <c r="F23">
        <v>18</v>
      </c>
      <c r="G23">
        <v>7.3925925925925897</v>
      </c>
      <c r="H23">
        <v>7</v>
      </c>
      <c r="I23">
        <v>2</v>
      </c>
      <c r="J23">
        <v>14</v>
      </c>
      <c r="K23">
        <v>998</v>
      </c>
      <c r="L23">
        <v>2.9952606751141002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231107_WT_4_Cell 4_SPB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Shannon</cp:lastModifiedBy>
  <dcterms:created xsi:type="dcterms:W3CDTF">2023-11-30T19:57:17Z</dcterms:created>
  <dcterms:modified xsi:type="dcterms:W3CDTF">2024-05-21T21:00:10Z</dcterms:modified>
</cp:coreProperties>
</file>