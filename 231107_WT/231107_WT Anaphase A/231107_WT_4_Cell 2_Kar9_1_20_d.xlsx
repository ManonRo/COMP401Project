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029EF247-A1E2-4E76-A87B-FDAD93693DE0}" xr6:coauthVersionLast="45" xr6:coauthVersionMax="45" xr10:uidLastSave="{00000000-0000-0000-0000-000000000000}"/>
  <bookViews>
    <workbookView xWindow="855" yWindow="525" windowWidth="27285" windowHeight="14550" xr2:uid="{00000000-000D-0000-FFFF-FFFF00000000}"/>
  </bookViews>
  <sheets>
    <sheet name="231107_WT_4_Cell 2_Kar9_1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6" i="1" l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5" i="1"/>
  <c r="AB7" i="1" l="1"/>
  <c r="AB8" i="1"/>
  <c r="AB9" i="1"/>
  <c r="AB10" i="1"/>
  <c r="AB11" i="1"/>
  <c r="AB12" i="1"/>
  <c r="AB13" i="1"/>
  <c r="AB14" i="1"/>
  <c r="AB15" i="1"/>
  <c r="AB16" i="1"/>
  <c r="AB17" i="1"/>
  <c r="AB18" i="1"/>
  <c r="AB19" i="1"/>
  <c r="AB6" i="1"/>
  <c r="AA6" i="1" l="1"/>
  <c r="AA7" i="1"/>
  <c r="AA8" i="1"/>
  <c r="AA9" i="1"/>
  <c r="AA10" i="1"/>
  <c r="AA11" i="1"/>
  <c r="AA12" i="1"/>
  <c r="AA13" i="1"/>
  <c r="AA14" i="1"/>
  <c r="AA15" i="1"/>
  <c r="AA16" i="1"/>
  <c r="AA17" i="1"/>
  <c r="AA18" i="1"/>
  <c r="AA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5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W6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5" i="1"/>
  <c r="V5" i="1" l="1"/>
  <c r="U5" i="1"/>
  <c r="R6" i="1" l="1"/>
  <c r="T21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6" i="1"/>
  <c r="S5" i="1" l="1"/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</calcChain>
</file>

<file path=xl/sharedStrings.xml><?xml version="1.0" encoding="utf-8"?>
<sst xmlns="http://schemas.openxmlformats.org/spreadsheetml/2006/main" count="37" uniqueCount="28">
  <si>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</si>
  <si>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</si>
  <si>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</si>
  <si>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</si>
  <si>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</si>
  <si>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</si>
  <si>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</si>
  <si>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</si>
  <si>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</si>
  <si>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</si>
  <si>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</si>
  <si>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</si>
  <si>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</si>
  <si>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</si>
  <si>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</si>
  <si>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</si>
  <si>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</si>
  <si>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</si>
  <si>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</si>
  <si>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</si>
  <si>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</si>
  <si>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</si>
  <si>
    <t>mt length change overall</t>
  </si>
  <si>
    <t>SPB movement</t>
  </si>
  <si>
    <t>Spindle midpoint</t>
  </si>
  <si>
    <t>Spindle midpoint distance to anchored Kar9</t>
  </si>
  <si>
    <t>isntantaneous depolym speed</t>
  </si>
  <si>
    <t>normalized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</si>
</sst>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9555088721563504E-2"/>
                  <c:y val="5.51894934429172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2_Kar9_1_20'!$D$5:$D$19</c:f>
              <c:numCache>
                <c:formatCode>General</c:formatCode>
                <c:ptCount val="15"/>
                <c:pt idx="0">
                  <c:v>19.1128861904144</c:v>
                </c:pt>
                <c:pt idx="1">
                  <c:v>22.9354634284973</c:v>
                </c:pt>
                <c:pt idx="2">
                  <c:v>26.7580406665802</c:v>
                </c:pt>
                <c:pt idx="3">
                  <c:v>30.580617904663001</c:v>
                </c:pt>
                <c:pt idx="4">
                  <c:v>34.403195142745901</c:v>
                </c:pt>
                <c:pt idx="5">
                  <c:v>38.225772380828801</c:v>
                </c:pt>
                <c:pt idx="6">
                  <c:v>42.048349618911701</c:v>
                </c:pt>
                <c:pt idx="7">
                  <c:v>45.8709268569946</c:v>
                </c:pt>
                <c:pt idx="8">
                  <c:v>49.6935040950775</c:v>
                </c:pt>
                <c:pt idx="9">
                  <c:v>53.5160813331604</c:v>
                </c:pt>
                <c:pt idx="10">
                  <c:v>57.338658571243201</c:v>
                </c:pt>
                <c:pt idx="11">
                  <c:v>61.161235809326101</c:v>
                </c:pt>
                <c:pt idx="12">
                  <c:v>64.983813047409001</c:v>
                </c:pt>
                <c:pt idx="13">
                  <c:v>68.806390285491901</c:v>
                </c:pt>
                <c:pt idx="14">
                  <c:v>72.628967523574801</c:v>
                </c:pt>
              </c:numCache>
            </c:numRef>
          </c:xVal>
          <c:yVal>
            <c:numRef>
              <c:f>'231107_WT_4_Cell 2_Kar9_1_20'!$Q$5:$Q$19</c:f>
              <c:numCache>
                <c:formatCode>General</c:formatCode>
                <c:ptCount val="15"/>
                <c:pt idx="0">
                  <c:v>2.9553937547887403</c:v>
                </c:pt>
                <c:pt idx="1">
                  <c:v>2.8380436172162393</c:v>
                </c:pt>
                <c:pt idx="2">
                  <c:v>2.7003284707678805</c:v>
                </c:pt>
                <c:pt idx="3">
                  <c:v>2.522719170973696</c:v>
                </c:pt>
                <c:pt idx="4">
                  <c:v>2.3760716120757972</c:v>
                </c:pt>
                <c:pt idx="5">
                  <c:v>2.2826295798570722</c:v>
                </c:pt>
                <c:pt idx="6">
                  <c:v>2.1521377586754418</c:v>
                </c:pt>
                <c:pt idx="7">
                  <c:v>2.0350957226832369</c:v>
                </c:pt>
                <c:pt idx="8">
                  <c:v>1.8184384004616954</c:v>
                </c:pt>
                <c:pt idx="9">
                  <c:v>1.6443697745530821</c:v>
                </c:pt>
                <c:pt idx="10">
                  <c:v>1.4777139152569161</c:v>
                </c:pt>
                <c:pt idx="11">
                  <c:v>1.3450550676270188</c:v>
                </c:pt>
                <c:pt idx="12">
                  <c:v>1.1638538334618471</c:v>
                </c:pt>
                <c:pt idx="13">
                  <c:v>1.0550454092919879</c:v>
                </c:pt>
                <c:pt idx="14">
                  <c:v>0.98223710295918709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3C-47A5-B103-02E7EB55D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729312"/>
        <c:axId val="723729640"/>
      </c:scatterChart>
      <c:valAx>
        <c:axId val="72372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29640"/>
        <c:crosses val="autoZero"/>
        <c:crossBetween val="midCat"/>
      </c:valAx>
      <c:valAx>
        <c:axId val="723729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2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8491447862697456E-2"/>
                  <c:y val="8.31783527377531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2_Kar9_1_20'!$D$5:$D$19</c:f>
              <c:numCache>
                <c:formatCode>General</c:formatCode>
                <c:ptCount val="15"/>
                <c:pt idx="0">
                  <c:v>19.1128861904144</c:v>
                </c:pt>
                <c:pt idx="1">
                  <c:v>22.9354634284973</c:v>
                </c:pt>
                <c:pt idx="2">
                  <c:v>26.7580406665802</c:v>
                </c:pt>
                <c:pt idx="3">
                  <c:v>30.580617904663001</c:v>
                </c:pt>
                <c:pt idx="4">
                  <c:v>34.403195142745901</c:v>
                </c:pt>
                <c:pt idx="5">
                  <c:v>38.225772380828801</c:v>
                </c:pt>
                <c:pt idx="6">
                  <c:v>42.048349618911701</c:v>
                </c:pt>
                <c:pt idx="7">
                  <c:v>45.8709268569946</c:v>
                </c:pt>
                <c:pt idx="8">
                  <c:v>49.6935040950775</c:v>
                </c:pt>
                <c:pt idx="9">
                  <c:v>53.5160813331604</c:v>
                </c:pt>
                <c:pt idx="10">
                  <c:v>57.338658571243201</c:v>
                </c:pt>
                <c:pt idx="11">
                  <c:v>61.161235809326101</c:v>
                </c:pt>
                <c:pt idx="12">
                  <c:v>64.983813047409001</c:v>
                </c:pt>
                <c:pt idx="13">
                  <c:v>68.806390285491901</c:v>
                </c:pt>
                <c:pt idx="14">
                  <c:v>72.628967523574801</c:v>
                </c:pt>
              </c:numCache>
            </c:numRef>
          </c:xVal>
          <c:yVal>
            <c:numRef>
              <c:f>'231107_WT_4_Cell 2_Kar9_1_20'!$W$5:$W$19</c:f>
              <c:numCache>
                <c:formatCode>General</c:formatCode>
                <c:ptCount val="15"/>
                <c:pt idx="0">
                  <c:v>5.1266968655344325</c:v>
                </c:pt>
                <c:pt idx="1">
                  <c:v>5.0913758282482666</c:v>
                </c:pt>
                <c:pt idx="2">
                  <c:v>5.0497007816942983</c:v>
                </c:pt>
                <c:pt idx="3">
                  <c:v>4.8995946808466933</c:v>
                </c:pt>
                <c:pt idx="4">
                  <c:v>4.7563645733214646</c:v>
                </c:pt>
                <c:pt idx="5">
                  <c:v>4.714384683364357</c:v>
                </c:pt>
                <c:pt idx="6">
                  <c:v>4.5790780947188781</c:v>
                </c:pt>
                <c:pt idx="7">
                  <c:v>4.4355766423354277</c:v>
                </c:pt>
                <c:pt idx="8">
                  <c:v>4.3206194547675665</c:v>
                </c:pt>
                <c:pt idx="9">
                  <c:v>4.1137953607879032</c:v>
                </c:pt>
                <c:pt idx="10">
                  <c:v>4.0445078648666799</c:v>
                </c:pt>
                <c:pt idx="11">
                  <c:v>3.9313554211088295</c:v>
                </c:pt>
                <c:pt idx="12">
                  <c:v>3.9283244356648583</c:v>
                </c:pt>
                <c:pt idx="13">
                  <c:v>3.8948007481686258</c:v>
                </c:pt>
                <c:pt idx="14">
                  <c:v>3.086281007852552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E-41E3-8C6C-21BEB5D0E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610944"/>
        <c:axId val="455611272"/>
      </c:scatterChart>
      <c:valAx>
        <c:axId val="45561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11272"/>
        <c:crosses val="autoZero"/>
        <c:crossBetween val="midCat"/>
      </c:valAx>
      <c:valAx>
        <c:axId val="455611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1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'231107_WT_4_Cell 2_Kar9_1_20'!$D$5:$D$19</c:f>
              <c:numCache>
                <c:formatCode>General</c:formatCode>
                <c:ptCount val="15"/>
                <c:pt idx="0">
                  <c:v>19.1128861904144</c:v>
                </c:pt>
                <c:pt idx="1">
                  <c:v>22.9354634284973</c:v>
                </c:pt>
                <c:pt idx="2">
                  <c:v>26.7580406665802</c:v>
                </c:pt>
                <c:pt idx="3">
                  <c:v>30.580617904663001</c:v>
                </c:pt>
                <c:pt idx="4">
                  <c:v>34.403195142745901</c:v>
                </c:pt>
                <c:pt idx="5">
                  <c:v>38.225772380828801</c:v>
                </c:pt>
                <c:pt idx="6">
                  <c:v>42.048349618911701</c:v>
                </c:pt>
                <c:pt idx="7">
                  <c:v>45.8709268569946</c:v>
                </c:pt>
                <c:pt idx="8">
                  <c:v>49.6935040950775</c:v>
                </c:pt>
                <c:pt idx="9">
                  <c:v>53.5160813331604</c:v>
                </c:pt>
                <c:pt idx="10">
                  <c:v>57.338658571243201</c:v>
                </c:pt>
                <c:pt idx="11">
                  <c:v>61.161235809326101</c:v>
                </c:pt>
                <c:pt idx="12">
                  <c:v>64.983813047409001</c:v>
                </c:pt>
                <c:pt idx="13">
                  <c:v>68.806390285491901</c:v>
                </c:pt>
                <c:pt idx="14">
                  <c:v>72.628967523574801</c:v>
                </c:pt>
              </c:numCache>
            </c:numRef>
          </c:xVal>
          <c:yVal>
            <c:numRef>
              <c:f>'231107_WT_4_Cell 2_Kar9_1_20'!$AA$5:$AA$18</c:f>
              <c:numCache>
                <c:formatCode>General</c:formatCode>
                <c:ptCount val="14"/>
                <c:pt idx="0">
                  <c:v>4.0282238248063056</c:v>
                </c:pt>
                <c:pt idx="1">
                  <c:v>3.957938763963273</c:v>
                </c:pt>
                <c:pt idx="2">
                  <c:v>3.8618716701681528</c:v>
                </c:pt>
                <c:pt idx="3">
                  <c:v>3.7099391709201797</c:v>
                </c:pt>
                <c:pt idx="4">
                  <c:v>3.5647651264515745</c:v>
                </c:pt>
                <c:pt idx="5">
                  <c:v>3.4928354466156657</c:v>
                </c:pt>
                <c:pt idx="6">
                  <c:v>3.3518754181850348</c:v>
                </c:pt>
                <c:pt idx="7">
                  <c:v>3.2162414827886021</c:v>
                </c:pt>
                <c:pt idx="8">
                  <c:v>3.0294772091540505</c:v>
                </c:pt>
                <c:pt idx="9">
                  <c:v>2.8541404410251352</c:v>
                </c:pt>
                <c:pt idx="10">
                  <c:v>2.7477363280013858</c:v>
                </c:pt>
                <c:pt idx="11">
                  <c:v>2.6145791512085235</c:v>
                </c:pt>
                <c:pt idx="12">
                  <c:v>2.5408545002222573</c:v>
                </c:pt>
                <c:pt idx="13">
                  <c:v>2.4595155615613309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6-4C65-BE58-16108DFC6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973408"/>
        <c:axId val="586973736"/>
      </c:scatterChart>
      <c:valAx>
        <c:axId val="58697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73736"/>
        <c:crosses val="autoZero"/>
        <c:crossBetween val="midCat"/>
      </c:valAx>
      <c:valAx>
        <c:axId val="58697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7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238126</xdr:colOff>
      <xdr:row>20</xdr:row>
      <xdr:rowOff>128588</xdr:rowOff>
    </xdr:from>
    <xdr:to>
      <xdr:col>13</xdr:col>
      <xdr:colOff>361950</xdr:colOff>
      <xdr:row>34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8AC48A-A36F-44B7-BE61-61AF7AA2C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34</xdr:row>
      <xdr:rowOff>185737</xdr:rowOff>
    </xdr:from>
    <xdr:to>
      <xdr:col>13</xdr:col>
      <xdr:colOff>361950</xdr:colOff>
      <xdr:row>47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B93481-7953-422D-9FD7-1FD1A8833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19050</xdr:colOff>
      <xdr:row>26</xdr:row>
      <xdr:rowOff>104775</xdr:rowOff>
    </xdr:from>
    <xdr:to>
      <xdr:col>26</xdr:col>
      <xdr:colOff>104775</xdr:colOff>
      <xdr:row>40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273D49-B9CA-483D-B5E1-AB0F9E867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tabSelected="1" topLeftCell="C1" zoomScaleNormal="100" workbookViewId="0">
      <selection activeCell="P15" sqref="P15"/>
    </sheetView>
  </sheetViews>
  <sheetFormatPr defaultRowHeight="15" x14ac:dyDescent="0.25"/>
  <cols>
    <col min="21" max="21" width="12.42578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29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17</v>
      </c>
      <c r="H3" t="s">
        <v>18</v>
      </c>
    </row>
    <row r="4" spans="1:29" x14ac:dyDescent="0.25">
      <c r="A4" t="s">
        <v>19</v>
      </c>
      <c r="B4" t="s">
        <v>19</v>
      </c>
      <c r="C4" t="s">
        <v>19</v>
      </c>
      <c r="D4" t="s">
        <v>20</v>
      </c>
      <c r="F4" t="s">
        <v>21</v>
      </c>
      <c r="G4" t="s">
        <v>21</v>
      </c>
      <c r="H4" t="s">
        <v>21</v>
      </c>
      <c r="U4" t="s">
        <v>22</v>
      </c>
      <c r="V4" t="s">
        <v>23</v>
      </c>
      <c r="X4" t="s">
        <v>24</v>
      </c>
      <c r="AA4" t="s">
        <v>25</v>
      </c>
      <c r="AB4" t="s">
        <v>26</v>
      </c>
      <c r="AC4" t="s">
        <v>27</v>
      </c>
    </row>
    <row r="5" spans="1:29" x14ac:dyDescent="0.25">
      <c r="A5">
        <v>1.23322221417054</v>
      </c>
      <c r="B5">
        <v>1.2780980104178801</v>
      </c>
      <c r="C5">
        <v>2.48193253866329</v>
      </c>
      <c r="D5">
        <v>19.1128861904144</v>
      </c>
      <c r="E5">
        <v>5</v>
      </c>
      <c r="F5">
        <v>43</v>
      </c>
      <c r="G5">
        <v>128</v>
      </c>
      <c r="H5">
        <v>7179</v>
      </c>
      <c r="I5">
        <v>3.4869930206014201</v>
      </c>
      <c r="J5">
        <v>3.1760342206240102</v>
      </c>
      <c r="K5">
        <v>2.7115137659284598</v>
      </c>
      <c r="L5">
        <v>5</v>
      </c>
      <c r="M5">
        <v>4.9820098937809503</v>
      </c>
      <c r="N5">
        <v>4.75060625442784</v>
      </c>
      <c r="O5">
        <v>2.0680506961470599</v>
      </c>
      <c r="Q5">
        <f t="shared" ref="Q5:Q19" si="0">SQRT((A5-I5)^2+(B5-J5)^2+(C5-K5)^2)</f>
        <v>2.9553937547887403</v>
      </c>
      <c r="S5">
        <f>D19-D5</f>
        <v>53.5160813331604</v>
      </c>
      <c r="U5">
        <f>Q5-Q19</f>
        <v>1.9731566518295534</v>
      </c>
      <c r="V5">
        <f>SQRT((I5-I19)^2+(J5-J19)^2+(K5-K19)^2)</f>
        <v>2.0119123846705316</v>
      </c>
      <c r="W5">
        <f>SQRT((A5-M5)^2+(B5-N5)^2+(C5-O5)^2)</f>
        <v>5.1266968655344325</v>
      </c>
      <c r="X5">
        <f>AVERAGE(I5,M5)</f>
        <v>4.2345014571911852</v>
      </c>
      <c r="Y5">
        <f>AVERAGE(J5,N5)</f>
        <v>3.9633202375259251</v>
      </c>
      <c r="Z5">
        <f>AVERAGE(K5,O5)</f>
        <v>2.3897822310377599</v>
      </c>
      <c r="AA5">
        <f>SQRT((A5-X5)^2+(B5-Y5)^2+(C5-Z5)^2)</f>
        <v>4.0282238248063056</v>
      </c>
      <c r="AC5">
        <f>D5-D$5</f>
        <v>0</v>
      </c>
    </row>
    <row r="6" spans="1:29" x14ac:dyDescent="0.25">
      <c r="A6">
        <v>1.2047825477030201</v>
      </c>
      <c r="B6">
        <v>1.2662346665075801</v>
      </c>
      <c r="C6">
        <v>2.6464951686688298</v>
      </c>
      <c r="D6">
        <v>22.9354634284973</v>
      </c>
      <c r="E6">
        <v>6</v>
      </c>
      <c r="F6">
        <v>47</v>
      </c>
      <c r="G6">
        <v>143</v>
      </c>
      <c r="H6">
        <v>7788</v>
      </c>
      <c r="I6">
        <v>3.35323948210638</v>
      </c>
      <c r="J6">
        <v>3.1184167306999102</v>
      </c>
      <c r="K6">
        <v>2.7361945294257</v>
      </c>
      <c r="L6">
        <v>6</v>
      </c>
      <c r="M6">
        <v>4.9278905609856798</v>
      </c>
      <c r="N6">
        <v>4.71198230055019</v>
      </c>
      <c r="O6">
        <v>2.2136005066655602</v>
      </c>
      <c r="Q6">
        <f t="shared" si="0"/>
        <v>2.8380436172162393</v>
      </c>
      <c r="R6">
        <f>SQRT((A5-A6)^2+(B5-B6)^2+(C5-C6)^2)</f>
        <v>0.16742285612143293</v>
      </c>
      <c r="T6">
        <f>SQRT((I5-I6)^2+(J5-J6)^2+(K5-K6)^2)</f>
        <v>0.14771230243925063</v>
      </c>
      <c r="W6">
        <f t="shared" ref="W6:W19" si="1">SQRT((A6-M6)^2+(B6-N6)^2+(C6-O6)^2)</f>
        <v>5.0913758282482666</v>
      </c>
      <c r="X6">
        <f t="shared" ref="X6:X19" si="2">AVERAGE(I6,M6)</f>
        <v>4.1405650215460295</v>
      </c>
      <c r="Y6">
        <f t="shared" ref="Y6:Y19" si="3">AVERAGE(J6,N6)</f>
        <v>3.9151995156250501</v>
      </c>
      <c r="Z6">
        <f t="shared" ref="Z6:Z19" si="4">AVERAGE(K6,O6)</f>
        <v>2.4748975180456299</v>
      </c>
      <c r="AA6">
        <f t="shared" ref="AA6:AA18" si="5">SQRT((A6-X6)^2+(B6-Y6)^2+(C6-Z6)^2)</f>
        <v>3.957938763963273</v>
      </c>
      <c r="AB6">
        <f>(Q5-Q6)/(D6-D5)*60</f>
        <v>1.8419531681932133</v>
      </c>
      <c r="AC6">
        <f t="shared" ref="AC6:AC19" si="6">D6-D$5</f>
        <v>3.8225772380829</v>
      </c>
    </row>
    <row r="7" spans="1:29" x14ac:dyDescent="0.25">
      <c r="A7">
        <v>1.1868384067876401</v>
      </c>
      <c r="B7">
        <v>1.2502696736866099</v>
      </c>
      <c r="C7">
        <v>2.5657811897844498</v>
      </c>
      <c r="D7">
        <v>26.7580406665802</v>
      </c>
      <c r="E7">
        <v>7</v>
      </c>
      <c r="F7">
        <v>61</v>
      </c>
      <c r="G7">
        <v>146</v>
      </c>
      <c r="H7">
        <v>7947</v>
      </c>
      <c r="I7">
        <v>3.16157528623887</v>
      </c>
      <c r="J7">
        <v>3.0749767231853902</v>
      </c>
      <c r="K7">
        <v>2.8160456308947999</v>
      </c>
      <c r="L7">
        <v>7</v>
      </c>
      <c r="M7">
        <v>4.8615520466666897</v>
      </c>
      <c r="N7">
        <v>4.6902028778517399</v>
      </c>
      <c r="O7">
        <v>2.1622750554902002</v>
      </c>
      <c r="Q7">
        <f t="shared" si="0"/>
        <v>2.7003284707678805</v>
      </c>
      <c r="R7">
        <f t="shared" ref="R7:R19" si="7">SQRT((A6-A7)^2+(B6-B7)^2+(C6-C7)^2)</f>
        <v>8.4211754383297283E-2</v>
      </c>
      <c r="T7">
        <f t="shared" ref="T7:T19" si="8">SQRT((I6-I7)^2+(J6-J7)^2+(K6-K7)^2)</f>
        <v>0.21212825515765055</v>
      </c>
      <c r="W7">
        <f t="shared" si="1"/>
        <v>5.0497007816942983</v>
      </c>
      <c r="X7">
        <f t="shared" si="2"/>
        <v>4.0115636664527798</v>
      </c>
      <c r="Y7">
        <f t="shared" si="3"/>
        <v>3.8825898005185651</v>
      </c>
      <c r="Z7">
        <f t="shared" si="4"/>
        <v>2.4891603431925002</v>
      </c>
      <c r="AA7">
        <f t="shared" si="5"/>
        <v>3.8618716701681528</v>
      </c>
      <c r="AB7">
        <f t="shared" ref="AB7:AB19" si="9">(Q6-Q7)/(D7-D6)*60</f>
        <v>2.161606756975706</v>
      </c>
      <c r="AC7">
        <f t="shared" si="6"/>
        <v>7.6451544761657999</v>
      </c>
    </row>
    <row r="8" spans="1:29" x14ac:dyDescent="0.25">
      <c r="A8">
        <v>1.1822547453880401</v>
      </c>
      <c r="B8">
        <v>1.2733853833650199</v>
      </c>
      <c r="C8">
        <v>2.5681233419609999</v>
      </c>
      <c r="D8">
        <v>30.580617904663001</v>
      </c>
      <c r="E8">
        <v>8</v>
      </c>
      <c r="F8">
        <v>41</v>
      </c>
      <c r="G8">
        <v>100</v>
      </c>
      <c r="H8">
        <v>5701</v>
      </c>
      <c r="I8">
        <v>3.06124754536178</v>
      </c>
      <c r="J8">
        <v>2.9564371353393399</v>
      </c>
      <c r="K8">
        <v>2.5970175182121</v>
      </c>
      <c r="L8">
        <v>8</v>
      </c>
      <c r="M8">
        <v>4.7085841636375001</v>
      </c>
      <c r="N8">
        <v>4.6721543298665997</v>
      </c>
      <c r="O8">
        <v>2.4288447762512</v>
      </c>
      <c r="Q8">
        <f t="shared" si="0"/>
        <v>2.522719170973696</v>
      </c>
      <c r="R8">
        <f t="shared" si="7"/>
        <v>2.3681884692330561E-2</v>
      </c>
      <c r="T8">
        <f t="shared" si="8"/>
        <v>0.26849693410085229</v>
      </c>
      <c r="W8">
        <f t="shared" si="1"/>
        <v>4.8995946808466933</v>
      </c>
      <c r="X8">
        <f t="shared" si="2"/>
        <v>3.8849158544996403</v>
      </c>
      <c r="Y8">
        <f t="shared" si="3"/>
        <v>3.8142957326029698</v>
      </c>
      <c r="Z8">
        <f t="shared" si="4"/>
        <v>2.51293114723165</v>
      </c>
      <c r="AA8">
        <f t="shared" si="5"/>
        <v>3.7099391709201797</v>
      </c>
      <c r="AB8">
        <f t="shared" si="9"/>
        <v>2.7877940258431053</v>
      </c>
      <c r="AC8">
        <f t="shared" si="6"/>
        <v>11.4677317142486</v>
      </c>
    </row>
    <row r="9" spans="1:29" x14ac:dyDescent="0.25">
      <c r="A9">
        <v>1.21000849305494</v>
      </c>
      <c r="B9">
        <v>1.24751661642111</v>
      </c>
      <c r="C9">
        <v>2.6410685363965398</v>
      </c>
      <c r="D9">
        <v>34.403195142745901</v>
      </c>
      <c r="E9">
        <v>9</v>
      </c>
      <c r="F9">
        <v>45</v>
      </c>
      <c r="G9">
        <v>124</v>
      </c>
      <c r="H9">
        <v>6709</v>
      </c>
      <c r="I9">
        <v>2.9581775559782302</v>
      </c>
      <c r="J9">
        <v>2.8561016607609599</v>
      </c>
      <c r="K9">
        <v>2.5955121068113902</v>
      </c>
      <c r="L9">
        <v>9</v>
      </c>
      <c r="M9">
        <v>4.5282340225263198</v>
      </c>
      <c r="N9">
        <v>4.6478472597496197</v>
      </c>
      <c r="O9">
        <v>2.4171605062748398</v>
      </c>
      <c r="Q9">
        <f t="shared" si="0"/>
        <v>2.3760716120757972</v>
      </c>
      <c r="R9">
        <f t="shared" si="7"/>
        <v>8.222204694602904E-2</v>
      </c>
      <c r="T9">
        <f t="shared" si="8"/>
        <v>0.14385025698231893</v>
      </c>
      <c r="W9">
        <f t="shared" si="1"/>
        <v>4.7563645733214646</v>
      </c>
      <c r="X9">
        <f t="shared" si="2"/>
        <v>3.7432057892522748</v>
      </c>
      <c r="Y9">
        <f t="shared" si="3"/>
        <v>3.7519744602552896</v>
      </c>
      <c r="Z9">
        <f t="shared" si="4"/>
        <v>2.506336306543115</v>
      </c>
      <c r="AA9">
        <f t="shared" si="5"/>
        <v>3.5647651264515745</v>
      </c>
      <c r="AB9">
        <f t="shared" si="9"/>
        <v>2.3018118368451157</v>
      </c>
      <c r="AC9">
        <f t="shared" si="6"/>
        <v>15.2903089523315</v>
      </c>
    </row>
    <row r="10" spans="1:29" x14ac:dyDescent="0.25">
      <c r="A10">
        <v>1.19928139390281</v>
      </c>
      <c r="B10">
        <v>1.2523462725735801</v>
      </c>
      <c r="C10">
        <v>2.5744264792428799</v>
      </c>
      <c r="D10">
        <v>38.225772380828801</v>
      </c>
      <c r="E10">
        <v>10</v>
      </c>
      <c r="F10">
        <v>53</v>
      </c>
      <c r="G10">
        <v>164</v>
      </c>
      <c r="H10">
        <v>8517</v>
      </c>
      <c r="I10">
        <v>2.86493125456205</v>
      </c>
      <c r="J10">
        <v>2.81145155312965</v>
      </c>
      <c r="K10">
        <v>2.6465310190895899</v>
      </c>
      <c r="L10">
        <v>10</v>
      </c>
      <c r="M10">
        <v>4.5002203780890602</v>
      </c>
      <c r="N10">
        <v>4.5952762980677004</v>
      </c>
      <c r="O10">
        <v>2.1819425813951101</v>
      </c>
      <c r="Q10">
        <f t="shared" si="0"/>
        <v>2.2826295798570722</v>
      </c>
      <c r="R10">
        <f t="shared" si="7"/>
        <v>6.7672446508474857E-2</v>
      </c>
      <c r="T10">
        <f t="shared" si="8"/>
        <v>0.11528848272631279</v>
      </c>
      <c r="W10">
        <f t="shared" si="1"/>
        <v>4.714384683364357</v>
      </c>
      <c r="X10">
        <f t="shared" si="2"/>
        <v>3.6825758163255551</v>
      </c>
      <c r="Y10">
        <f t="shared" si="3"/>
        <v>3.7033639255986754</v>
      </c>
      <c r="Z10">
        <f t="shared" si="4"/>
        <v>2.41423680024235</v>
      </c>
      <c r="AA10">
        <f t="shared" si="5"/>
        <v>3.4928354466156657</v>
      </c>
      <c r="AB10">
        <f t="shared" si="9"/>
        <v>1.4666863699359249</v>
      </c>
      <c r="AC10">
        <f t="shared" si="6"/>
        <v>19.1128861904144</v>
      </c>
    </row>
    <row r="11" spans="1:29" x14ac:dyDescent="0.25">
      <c r="A11">
        <v>1.18899875095</v>
      </c>
      <c r="B11">
        <v>1.2549993898288401</v>
      </c>
      <c r="C11">
        <v>2.5527632836385901</v>
      </c>
      <c r="D11">
        <v>42.048349618911701</v>
      </c>
      <c r="E11">
        <v>11</v>
      </c>
      <c r="F11">
        <v>58</v>
      </c>
      <c r="G11">
        <v>159</v>
      </c>
      <c r="H11">
        <v>8272</v>
      </c>
      <c r="I11">
        <v>2.7192789600145901</v>
      </c>
      <c r="J11">
        <v>2.7538384274336698</v>
      </c>
      <c r="K11">
        <v>2.7611402339320801</v>
      </c>
      <c r="L11">
        <v>11</v>
      </c>
      <c r="M11">
        <v>4.3977583638391602</v>
      </c>
      <c r="N11">
        <v>4.4919879182840203</v>
      </c>
      <c r="O11">
        <v>2.1126232935499401</v>
      </c>
      <c r="Q11">
        <f t="shared" si="0"/>
        <v>2.1521377586754418</v>
      </c>
      <c r="R11">
        <f t="shared" si="7"/>
        <v>2.4126040310313152E-2</v>
      </c>
      <c r="T11">
        <f t="shared" si="8"/>
        <v>0.19408538143356624</v>
      </c>
      <c r="W11">
        <f t="shared" si="1"/>
        <v>4.5790780947188781</v>
      </c>
      <c r="X11">
        <f t="shared" si="2"/>
        <v>3.5585186619268754</v>
      </c>
      <c r="Y11">
        <f t="shared" si="3"/>
        <v>3.6229131728588451</v>
      </c>
      <c r="Z11">
        <f t="shared" si="4"/>
        <v>2.4368817637410101</v>
      </c>
      <c r="AA11">
        <f t="shared" si="5"/>
        <v>3.3518754181850348</v>
      </c>
      <c r="AB11">
        <f t="shared" si="9"/>
        <v>2.0482278795822269</v>
      </c>
      <c r="AC11">
        <f t="shared" si="6"/>
        <v>22.9354634284973</v>
      </c>
    </row>
    <row r="12" spans="1:29" x14ac:dyDescent="0.25">
      <c r="A12">
        <v>1.16263629018837</v>
      </c>
      <c r="B12">
        <v>1.32431844236929</v>
      </c>
      <c r="C12">
        <v>2.5026413348677599</v>
      </c>
      <c r="D12">
        <v>45.8709268569946</v>
      </c>
      <c r="E12">
        <v>12</v>
      </c>
      <c r="F12">
        <v>41</v>
      </c>
      <c r="G12">
        <v>119</v>
      </c>
      <c r="H12">
        <v>6336</v>
      </c>
      <c r="I12">
        <v>2.7238988527672898</v>
      </c>
      <c r="J12">
        <v>2.6067053347592899</v>
      </c>
      <c r="K12">
        <v>2.74668573533503</v>
      </c>
      <c r="L12">
        <v>12</v>
      </c>
      <c r="M12">
        <v>4.2520566099234101</v>
      </c>
      <c r="N12">
        <v>4.4835240358827502</v>
      </c>
      <c r="O12">
        <v>2.11632248216557</v>
      </c>
      <c r="Q12">
        <f t="shared" si="0"/>
        <v>2.0350957226832369</v>
      </c>
      <c r="R12">
        <f t="shared" si="7"/>
        <v>8.9511564231108481E-2</v>
      </c>
      <c r="T12">
        <f t="shared" si="8"/>
        <v>0.14791356563434685</v>
      </c>
      <c r="W12">
        <f t="shared" si="1"/>
        <v>4.4355766423354277</v>
      </c>
      <c r="X12">
        <f t="shared" si="2"/>
        <v>3.4879777313453499</v>
      </c>
      <c r="Y12">
        <f t="shared" si="3"/>
        <v>3.5451146853210203</v>
      </c>
      <c r="Z12">
        <f t="shared" si="4"/>
        <v>2.4315041087502998</v>
      </c>
      <c r="AA12">
        <f t="shared" si="5"/>
        <v>3.2162414827886021</v>
      </c>
      <c r="AB12">
        <f t="shared" si="9"/>
        <v>1.8371171390781966</v>
      </c>
      <c r="AC12">
        <f t="shared" si="6"/>
        <v>26.7580406665802</v>
      </c>
    </row>
    <row r="13" spans="1:29" x14ac:dyDescent="0.25">
      <c r="A13">
        <v>1.2051166895653</v>
      </c>
      <c r="B13">
        <v>1.39029339697054</v>
      </c>
      <c r="C13">
        <v>2.4486345014969202</v>
      </c>
      <c r="D13">
        <v>49.6935040950775</v>
      </c>
      <c r="E13">
        <v>13</v>
      </c>
      <c r="F13">
        <v>40</v>
      </c>
      <c r="G13">
        <v>145</v>
      </c>
      <c r="H13">
        <v>7690</v>
      </c>
      <c r="I13">
        <v>2.65010288930949</v>
      </c>
      <c r="J13">
        <v>2.4178187612467701</v>
      </c>
      <c r="K13">
        <v>2.8522738511539298</v>
      </c>
      <c r="L13">
        <v>13</v>
      </c>
      <c r="M13">
        <v>4.1414713289832301</v>
      </c>
      <c r="N13">
        <v>4.5463326345671202</v>
      </c>
      <c r="O13">
        <v>2.15710365366846</v>
      </c>
      <c r="Q13">
        <f t="shared" si="0"/>
        <v>1.8184384004616954</v>
      </c>
      <c r="R13">
        <f t="shared" si="7"/>
        <v>9.5257634951777595E-2</v>
      </c>
      <c r="T13">
        <f t="shared" si="8"/>
        <v>0.22863252629088207</v>
      </c>
      <c r="W13">
        <f t="shared" si="1"/>
        <v>4.3206194547675665</v>
      </c>
      <c r="X13">
        <f t="shared" si="2"/>
        <v>3.3957871091463598</v>
      </c>
      <c r="Y13">
        <f t="shared" si="3"/>
        <v>3.4820756979069452</v>
      </c>
      <c r="Z13">
        <f t="shared" si="4"/>
        <v>2.5046887524111949</v>
      </c>
      <c r="AA13">
        <f t="shared" si="5"/>
        <v>3.0294772091540505</v>
      </c>
      <c r="AB13">
        <f t="shared" si="9"/>
        <v>3.4007002406083431</v>
      </c>
      <c r="AC13">
        <f t="shared" si="6"/>
        <v>30.5806179046631</v>
      </c>
    </row>
    <row r="14" spans="1:29" x14ac:dyDescent="0.25">
      <c r="A14">
        <v>1.1813700511121401</v>
      </c>
      <c r="B14">
        <v>1.3897449319759401</v>
      </c>
      <c r="C14">
        <v>2.4637538316823502</v>
      </c>
      <c r="D14">
        <v>53.5160813331604</v>
      </c>
      <c r="E14">
        <v>14</v>
      </c>
      <c r="F14">
        <v>44</v>
      </c>
      <c r="G14">
        <v>148</v>
      </c>
      <c r="H14">
        <v>7748</v>
      </c>
      <c r="I14">
        <v>2.50468616620027</v>
      </c>
      <c r="J14">
        <v>2.3388115801238798</v>
      </c>
      <c r="K14">
        <v>2.6919180540859702</v>
      </c>
      <c r="L14">
        <v>14</v>
      </c>
      <c r="M14">
        <v>4.0092019012385904</v>
      </c>
      <c r="N14">
        <v>4.35702919260076</v>
      </c>
      <c r="O14">
        <v>2.1146071368695498</v>
      </c>
      <c r="Q14">
        <f t="shared" si="0"/>
        <v>1.6443697745530821</v>
      </c>
      <c r="R14">
        <f t="shared" si="7"/>
        <v>2.8156665231015024E-2</v>
      </c>
      <c r="T14">
        <f t="shared" si="8"/>
        <v>0.2304390151040171</v>
      </c>
      <c r="W14">
        <f t="shared" si="1"/>
        <v>4.1137953607879032</v>
      </c>
      <c r="X14">
        <f t="shared" si="2"/>
        <v>3.2569440337194302</v>
      </c>
      <c r="Y14">
        <f t="shared" si="3"/>
        <v>3.3479203863623201</v>
      </c>
      <c r="Z14">
        <f t="shared" si="4"/>
        <v>2.4032625954777602</v>
      </c>
      <c r="AA14">
        <f t="shared" si="5"/>
        <v>2.8541404410251352</v>
      </c>
      <c r="AB14">
        <f t="shared" si="9"/>
        <v>2.7322188419022591</v>
      </c>
      <c r="AC14">
        <f t="shared" si="6"/>
        <v>34.403195142746</v>
      </c>
    </row>
    <row r="15" spans="1:29" x14ac:dyDescent="0.25">
      <c r="A15">
        <v>1.18083898042243</v>
      </c>
      <c r="B15">
        <v>1.34502716655914</v>
      </c>
      <c r="C15">
        <v>2.4113288200913399</v>
      </c>
      <c r="D15">
        <v>57.338658571243201</v>
      </c>
      <c r="E15">
        <v>15</v>
      </c>
      <c r="F15">
        <v>46</v>
      </c>
      <c r="G15">
        <v>134</v>
      </c>
      <c r="H15">
        <v>7185</v>
      </c>
      <c r="I15">
        <v>2.30266798977808</v>
      </c>
      <c r="J15">
        <v>2.2871098761741502</v>
      </c>
      <c r="K15">
        <v>2.6052830862379901</v>
      </c>
      <c r="L15">
        <v>15</v>
      </c>
      <c r="M15">
        <v>3.8183734388165602</v>
      </c>
      <c r="N15">
        <v>4.4099524536378798</v>
      </c>
      <c r="O15">
        <v>2.32364282133834</v>
      </c>
      <c r="Q15">
        <f t="shared" si="0"/>
        <v>1.4777139152569161</v>
      </c>
      <c r="R15">
        <f t="shared" si="7"/>
        <v>6.8908217363874646E-2</v>
      </c>
      <c r="T15">
        <f t="shared" si="8"/>
        <v>0.22580971513704434</v>
      </c>
      <c r="W15">
        <f t="shared" si="1"/>
        <v>4.0445078648666799</v>
      </c>
      <c r="X15">
        <f t="shared" si="2"/>
        <v>3.0605207142973203</v>
      </c>
      <c r="Y15">
        <f t="shared" si="3"/>
        <v>3.348531164906015</v>
      </c>
      <c r="Z15">
        <f t="shared" si="4"/>
        <v>2.464462953788165</v>
      </c>
      <c r="AA15">
        <f t="shared" si="5"/>
        <v>2.7477363280013858</v>
      </c>
      <c r="AB15">
        <f t="shared" si="9"/>
        <v>2.6158664521282762</v>
      </c>
      <c r="AC15">
        <f t="shared" si="6"/>
        <v>38.225772380828801</v>
      </c>
    </row>
    <row r="16" spans="1:29" x14ac:dyDescent="0.25">
      <c r="A16">
        <v>1.1572551427461399</v>
      </c>
      <c r="B16">
        <v>1.3508861612109799</v>
      </c>
      <c r="C16">
        <v>2.4251209282177699</v>
      </c>
      <c r="D16">
        <v>61.161235809326101</v>
      </c>
      <c r="E16">
        <v>16</v>
      </c>
      <c r="F16">
        <v>61</v>
      </c>
      <c r="G16">
        <v>162</v>
      </c>
      <c r="H16">
        <v>8622</v>
      </c>
      <c r="I16">
        <v>2.1563836552381299</v>
      </c>
      <c r="J16">
        <v>2.20470416337607</v>
      </c>
      <c r="K16">
        <v>2.7113204559138899</v>
      </c>
      <c r="L16">
        <v>16</v>
      </c>
      <c r="M16">
        <v>3.71960544513394</v>
      </c>
      <c r="N16">
        <v>4.3251287943329801</v>
      </c>
      <c r="O16">
        <v>2.2158432794961702</v>
      </c>
      <c r="Q16">
        <f t="shared" si="0"/>
        <v>1.3450550676270188</v>
      </c>
      <c r="R16">
        <f t="shared" si="7"/>
        <v>2.7941858643315474E-2</v>
      </c>
      <c r="T16">
        <f t="shared" si="8"/>
        <v>0.19857928341430567</v>
      </c>
      <c r="W16">
        <f t="shared" si="1"/>
        <v>3.9313554211088295</v>
      </c>
      <c r="X16">
        <f t="shared" si="2"/>
        <v>2.9379945501860352</v>
      </c>
      <c r="Y16">
        <f t="shared" si="3"/>
        <v>3.2649164788545253</v>
      </c>
      <c r="Z16">
        <f t="shared" si="4"/>
        <v>2.4635818677050301</v>
      </c>
      <c r="AA16">
        <f t="shared" si="5"/>
        <v>2.6145791512085235</v>
      </c>
      <c r="AB16">
        <f t="shared" si="9"/>
        <v>2.0822419959225482</v>
      </c>
      <c r="AC16">
        <f t="shared" si="6"/>
        <v>42.048349618911701</v>
      </c>
    </row>
    <row r="17" spans="1:29" x14ac:dyDescent="0.25">
      <c r="A17">
        <v>1.12864402302207</v>
      </c>
      <c r="B17">
        <v>1.4354845597866399</v>
      </c>
      <c r="C17">
        <v>2.5109508162452401</v>
      </c>
      <c r="D17">
        <v>64.983813047409001</v>
      </c>
      <c r="E17">
        <v>17</v>
      </c>
      <c r="F17">
        <v>67</v>
      </c>
      <c r="G17">
        <v>174</v>
      </c>
      <c r="H17">
        <v>9122</v>
      </c>
      <c r="I17">
        <v>2.0245054386433399</v>
      </c>
      <c r="J17">
        <v>2.17479506429998</v>
      </c>
      <c r="K17">
        <v>2.58449024499691</v>
      </c>
      <c r="L17">
        <v>17</v>
      </c>
      <c r="M17">
        <v>3.7408519219796501</v>
      </c>
      <c r="N17">
        <v>4.3631850174897497</v>
      </c>
      <c r="O17">
        <v>2.7024522377288802</v>
      </c>
      <c r="Q17">
        <f t="shared" si="0"/>
        <v>1.1638538334618471</v>
      </c>
      <c r="R17">
        <f t="shared" si="7"/>
        <v>0.12386385627873596</v>
      </c>
      <c r="T17">
        <f t="shared" si="8"/>
        <v>0.18539773628879971</v>
      </c>
      <c r="W17">
        <f t="shared" si="1"/>
        <v>3.9283244356648583</v>
      </c>
      <c r="X17">
        <f t="shared" si="2"/>
        <v>2.882678680311495</v>
      </c>
      <c r="Y17">
        <f t="shared" si="3"/>
        <v>3.2689900408948649</v>
      </c>
      <c r="Z17">
        <f t="shared" si="4"/>
        <v>2.6434712413628949</v>
      </c>
      <c r="AA17">
        <f t="shared" si="5"/>
        <v>2.5408545002222573</v>
      </c>
      <c r="AB17">
        <f t="shared" si="9"/>
        <v>2.8441738054619048</v>
      </c>
      <c r="AC17">
        <f t="shared" si="6"/>
        <v>45.8709268569946</v>
      </c>
    </row>
    <row r="18" spans="1:29" x14ac:dyDescent="0.25">
      <c r="A18">
        <v>1.09590448725267</v>
      </c>
      <c r="B18">
        <v>1.42443357118777</v>
      </c>
      <c r="C18">
        <v>2.5668940557586701</v>
      </c>
      <c r="D18">
        <v>68.806390285491901</v>
      </c>
      <c r="E18">
        <v>18</v>
      </c>
      <c r="F18">
        <v>62</v>
      </c>
      <c r="G18">
        <v>182</v>
      </c>
      <c r="H18">
        <v>9724</v>
      </c>
      <c r="I18">
        <v>1.95417636252828</v>
      </c>
      <c r="J18">
        <v>2.02823170542755</v>
      </c>
      <c r="K18">
        <v>2.6760637258486102</v>
      </c>
      <c r="L18">
        <v>18</v>
      </c>
      <c r="M18">
        <v>3.6644241314459198</v>
      </c>
      <c r="N18">
        <v>4.3496207005984102</v>
      </c>
      <c r="O18">
        <v>2.4425559551675602</v>
      </c>
      <c r="Q18">
        <f t="shared" si="0"/>
        <v>1.0550454092919879</v>
      </c>
      <c r="R18">
        <f t="shared" si="7"/>
        <v>6.5754449268967174E-2</v>
      </c>
      <c r="T18">
        <f t="shared" si="8"/>
        <v>0.18658161620712604</v>
      </c>
      <c r="W18">
        <f t="shared" si="1"/>
        <v>3.8948007481686258</v>
      </c>
      <c r="X18">
        <f t="shared" si="2"/>
        <v>2.8093002469871</v>
      </c>
      <c r="Y18">
        <f t="shared" si="3"/>
        <v>3.1889262030129801</v>
      </c>
      <c r="Z18">
        <f t="shared" si="4"/>
        <v>2.5593098405080852</v>
      </c>
      <c r="AA18">
        <f t="shared" si="5"/>
        <v>2.4595155615613309</v>
      </c>
      <c r="AB18">
        <f t="shared" si="9"/>
        <v>1.7078805851587535</v>
      </c>
      <c r="AC18">
        <f t="shared" si="6"/>
        <v>49.6935040950775</v>
      </c>
    </row>
    <row r="19" spans="1:29" x14ac:dyDescent="0.25">
      <c r="A19">
        <v>1.08244703865887</v>
      </c>
      <c r="B19">
        <v>1.4529068300338499</v>
      </c>
      <c r="C19">
        <v>2.4984996720374002</v>
      </c>
      <c r="D19">
        <v>72.628967523574801</v>
      </c>
      <c r="E19">
        <v>19</v>
      </c>
      <c r="F19">
        <v>45</v>
      </c>
      <c r="G19">
        <v>136</v>
      </c>
      <c r="H19">
        <v>7426</v>
      </c>
      <c r="I19">
        <v>1.8693719758581999</v>
      </c>
      <c r="J19">
        <v>1.98063246088377</v>
      </c>
      <c r="K19">
        <v>2.7574292535601401</v>
      </c>
      <c r="L19">
        <v>19</v>
      </c>
      <c r="Q19">
        <f t="shared" si="0"/>
        <v>0.98223710295918709</v>
      </c>
      <c r="R19">
        <f t="shared" si="7"/>
        <v>7.5296886499927385E-2</v>
      </c>
      <c r="T19">
        <f t="shared" si="8"/>
        <v>0.12679834848846722</v>
      </c>
      <c r="W19">
        <f t="shared" si="1"/>
        <v>3.086281007852552</v>
      </c>
      <c r="X19">
        <f t="shared" si="2"/>
        <v>1.8693719758581999</v>
      </c>
      <c r="Y19">
        <f t="shared" si="3"/>
        <v>1.98063246088377</v>
      </c>
      <c r="Z19">
        <f t="shared" si="4"/>
        <v>2.7574292535601401</v>
      </c>
      <c r="AB19">
        <f t="shared" si="9"/>
        <v>1.1428149407803561</v>
      </c>
      <c r="AC19">
        <f t="shared" si="6"/>
        <v>53.5160813331604</v>
      </c>
    </row>
    <row r="21" spans="1:29" x14ac:dyDescent="0.25">
      <c r="T21">
        <f>SQRT((I5-I19)^2+(J5-J19)^2+(K5-K19)^2)</f>
        <v>2.0119123846705316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231107_WT_4_Cell 2_Kar9_1_20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2024-05-21T19:55:28Z</dcterms:created>
  <dcterms:modified xsi:type="dcterms:W3CDTF">2024-06-17T18:34:32Z</dcterms:modified>
</cp:coreProperties>
</file>