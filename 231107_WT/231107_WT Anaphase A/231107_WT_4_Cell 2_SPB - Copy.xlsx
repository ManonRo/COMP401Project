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Seagate Portable Drive/Elyra/STACKS/1minute_3second updated/WT Anaphase A/"/>
    </mc:Choice>
  </mc:AlternateContent>
  <xr:revisionPtr revIDLastSave="0" documentId="13_ncr:1_{FADE67AA-BFD6-FD42-B79B-676FF5F2324F}" xr6:coauthVersionLast="47" xr6:coauthVersionMax="47" xr10:uidLastSave="{00000000-0000-0000-0000-000000000000}"/>
  <bookViews>
    <workbookView xWindow="4640" yWindow="500" windowWidth="23800" windowHeight="13980" xr2:uid="{00000000-000D-0000-FFFF-FFFF00000000}"/>
  </bookViews>
  <sheets>
    <sheet name="231107_WT_4_Cell 2_SP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I12" i="1" l="1"/>
  <c r="AI11" i="1"/>
  <c r="AH11" i="1"/>
  <c r="Z24" i="1" l="1"/>
  <c r="AH12" i="1" l="1"/>
  <c r="AH13" i="1"/>
  <c r="AH14" i="1"/>
  <c r="AH15" i="1"/>
  <c r="AH16" i="1"/>
  <c r="AH17" i="1"/>
  <c r="AH18" i="1"/>
  <c r="AH19" i="1"/>
  <c r="AH20" i="1"/>
  <c r="AH21" i="1"/>
  <c r="AH22" i="1"/>
  <c r="AH23" i="1"/>
  <c r="AH24" i="1"/>
  <c r="Z6" i="1" l="1"/>
  <c r="Z7" i="1"/>
  <c r="Z8" i="1"/>
  <c r="Z9" i="1"/>
  <c r="Z10" i="1"/>
  <c r="Z11" i="1"/>
  <c r="Z12" i="1"/>
  <c r="Z5" i="1"/>
  <c r="Z13" i="1" s="1"/>
  <c r="Y6" i="1"/>
  <c r="Y7" i="1"/>
  <c r="Y8" i="1"/>
  <c r="Y9" i="1"/>
  <c r="Y10" i="1"/>
  <c r="Y11" i="1"/>
  <c r="Y12" i="1"/>
  <c r="Y5" i="1"/>
</calcChain>
</file>

<file path=xl/sharedStrings.xml><?xml version="1.0" encoding="utf-8"?>
<sst xmlns="http://schemas.openxmlformats.org/spreadsheetml/2006/main" count="46" uniqueCount="33">
  <si>
    <t>TRACK_ID</t>
  </si>
  <si>
    <t>POSITION_X</t>
  </si>
  <si>
    <t>POSITION_Y</t>
  </si>
  <si>
    <t>POSITION_Z</t>
  </si>
  <si>
    <t>POSITION_T</t>
  </si>
  <si>
    <t>FRAME</t>
  </si>
  <si>
    <t>MEAN_INTENSITY_CH1</t>
  </si>
  <si>
    <t>MEDIAN_INTENSITY_CH1</t>
  </si>
  <si>
    <t>MIN_INTENSITY_CH1</t>
  </si>
  <si>
    <t>MAX_INTENSITY_CH1</t>
  </si>
  <si>
    <t>TOTAL_INTENSITY_CH1</t>
  </si>
  <si>
    <t>STD_INTENSITY_CH1</t>
  </si>
  <si>
    <t>Track ID</t>
  </si>
  <si>
    <t>X</t>
  </si>
  <si>
    <t>Y</t>
  </si>
  <si>
    <t>Z</t>
  </si>
  <si>
    <t>T</t>
  </si>
  <si>
    <t>Frame</t>
  </si>
  <si>
    <t>Mean intensity ch1</t>
  </si>
  <si>
    <t>Median intensity ch1</t>
  </si>
  <si>
    <t>Min intensity ch1</t>
  </si>
  <si>
    <t>Max intensity ch1</t>
  </si>
  <si>
    <t>Sum intensity ch1</t>
  </si>
  <si>
    <t>Std intensity ch1</t>
  </si>
  <si>
    <t>Mean ch1</t>
  </si>
  <si>
    <t>Median ch1</t>
  </si>
  <si>
    <t>Min ch1</t>
  </si>
  <si>
    <t>Max ch1</t>
  </si>
  <si>
    <t>Sum ch1</t>
  </si>
  <si>
    <t>Std ch1</t>
  </si>
  <si>
    <t>(micron)</t>
  </si>
  <si>
    <t>(sec)</t>
  </si>
  <si>
    <t>(counts)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</si>
</sst>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'231107_WT_4_Cell 2_SPB'!$Y$5:$Y$12</c:f>
              <c:numCache>
                <c:formatCode>General</c:formatCode>
                <c:ptCount val="8"/>
                <c:pt idx="0">
                  <c:v>0</c:v>
                </c:pt>
                <c:pt idx="1">
                  <c:v>6.3709620634714664E-2</c:v>
                </c:pt>
                <c:pt idx="2">
                  <c:v>0.1274192412694295</c:v>
                </c:pt>
                <c:pt idx="3">
                  <c:v>0.19112886190414333</c:v>
                </c:pt>
                <c:pt idx="4">
                  <c:v>0.25483848253885832</c:v>
                </c:pt>
                <c:pt idx="5">
                  <c:v>0.31854810317357335</c:v>
                </c:pt>
                <c:pt idx="6">
                  <c:v>0.38225772380828832</c:v>
                </c:pt>
                <c:pt idx="7">
                  <c:v>0.44596734444300334</c:v>
                </c:pt>
              </c:numCache>
            </c:numRef>
          </c:xVal>
          <c:yVal>
            <c:numRef>
              <c:f>'231107_WT_4_Cell 2_SPB'!$Z$5:$Z$12</c:f>
              <c:numCache>
                <c:formatCode>General</c:formatCode>
                <c:ptCount val="8"/>
                <c:pt idx="0">
                  <c:v>2.1282902715356706</c:v>
                </c:pt>
                <c:pt idx="1">
                  <c:v>2.1711807566278214</c:v>
                </c:pt>
                <c:pt idx="2">
                  <c:v>2.2256349904726136</c:v>
                </c:pt>
                <c:pt idx="3">
                  <c:v>2.2108732857643441</c:v>
                </c:pt>
                <c:pt idx="4">
                  <c:v>2.2619182356729661</c:v>
                </c:pt>
                <c:pt idx="5">
                  <c:v>2.2644538797700973</c:v>
                </c:pt>
                <c:pt idx="6">
                  <c:v>2.2942445054602199</c:v>
                </c:pt>
                <c:pt idx="7">
                  <c:v>2.4235506908064988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3ED-4634-87F7-FF22BF9B22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3306288"/>
        <c:axId val="593306616"/>
      </c:scatterChart>
      <c:valAx>
        <c:axId val="5933062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3306616"/>
        <c:crosses val="autoZero"/>
        <c:crossBetween val="midCat"/>
      </c:valAx>
      <c:valAx>
        <c:axId val="593306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33062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23413695885423208"/>
                  <c:y val="-6.75921855255610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'231107_WT_4_Cell 2_SPB'!$AD$11:$AD$24</c:f>
              <c:numCache>
                <c:formatCode>General</c:formatCode>
                <c:ptCount val="14"/>
                <c:pt idx="0">
                  <c:v>22.9354634284973</c:v>
                </c:pt>
                <c:pt idx="1">
                  <c:v>26.7580406665802</c:v>
                </c:pt>
                <c:pt idx="2">
                  <c:v>30.580617904663001</c:v>
                </c:pt>
                <c:pt idx="3">
                  <c:v>34.403195142745901</c:v>
                </c:pt>
                <c:pt idx="4">
                  <c:v>38.225772380828801</c:v>
                </c:pt>
                <c:pt idx="5">
                  <c:v>42.048349618911701</c:v>
                </c:pt>
                <c:pt idx="6">
                  <c:v>45.8709268569946</c:v>
                </c:pt>
                <c:pt idx="7">
                  <c:v>49.6935040950775</c:v>
                </c:pt>
                <c:pt idx="8">
                  <c:v>53.5160813331604</c:v>
                </c:pt>
                <c:pt idx="9">
                  <c:v>57.338658571243201</c:v>
                </c:pt>
                <c:pt idx="10">
                  <c:v>61.161235809326101</c:v>
                </c:pt>
                <c:pt idx="11">
                  <c:v>64.983813047409001</c:v>
                </c:pt>
                <c:pt idx="12">
                  <c:v>68.806390285491901</c:v>
                </c:pt>
                <c:pt idx="13">
                  <c:v>72.628967523574801</c:v>
                </c:pt>
              </c:numCache>
            </c:numRef>
          </c:xVal>
          <c:yVal>
            <c:numRef>
              <c:f>'231107_WT_4_Cell 2_SPB'!$AH$11:$AH$24</c:f>
              <c:numCache>
                <c:formatCode>General</c:formatCode>
                <c:ptCount val="14"/>
                <c:pt idx="0">
                  <c:v>2.8368386104074852</c:v>
                </c:pt>
                <c:pt idx="1">
                  <c:v>2.6989770034347202</c:v>
                </c:pt>
                <c:pt idx="2">
                  <c:v>2.5234779287292879</c:v>
                </c:pt>
                <c:pt idx="3">
                  <c:v>2.378154355367919</c:v>
                </c:pt>
                <c:pt idx="4">
                  <c:v>2.2861122794664217</c:v>
                </c:pt>
                <c:pt idx="5">
                  <c:v>2.154898905474254</c:v>
                </c:pt>
                <c:pt idx="6">
                  <c:v>2.0361763025209694</c:v>
                </c:pt>
                <c:pt idx="7">
                  <c:v>1.8180182617541762</c:v>
                </c:pt>
                <c:pt idx="8">
                  <c:v>1.643971457760629</c:v>
                </c:pt>
                <c:pt idx="9">
                  <c:v>1.4765320493108347</c:v>
                </c:pt>
                <c:pt idx="10">
                  <c:v>1.3450841939016989</c:v>
                </c:pt>
                <c:pt idx="11">
                  <c:v>1.1634943076692743</c:v>
                </c:pt>
                <c:pt idx="12">
                  <c:v>1.0536431136691287</c:v>
                </c:pt>
                <c:pt idx="13">
                  <c:v>0.97430735018967407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239-4B9E-8979-94AB8B5C50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9502600"/>
        <c:axId val="689502928"/>
      </c:scatterChart>
      <c:valAx>
        <c:axId val="6895026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502928"/>
        <c:crosses val="autoZero"/>
        <c:crossBetween val="midCat"/>
      </c:valAx>
      <c:valAx>
        <c:axId val="689502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5026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'231107_WT_4_Cell 2_SPB'!$AD$11:$AD$24</c:f>
              <c:numCache>
                <c:formatCode>General</c:formatCode>
                <c:ptCount val="14"/>
                <c:pt idx="0">
                  <c:v>22.9354634284973</c:v>
                </c:pt>
                <c:pt idx="1">
                  <c:v>26.7580406665802</c:v>
                </c:pt>
                <c:pt idx="2">
                  <c:v>30.580617904663001</c:v>
                </c:pt>
                <c:pt idx="3">
                  <c:v>34.403195142745901</c:v>
                </c:pt>
                <c:pt idx="4">
                  <c:v>38.225772380828801</c:v>
                </c:pt>
                <c:pt idx="5">
                  <c:v>42.048349618911701</c:v>
                </c:pt>
                <c:pt idx="6">
                  <c:v>45.8709268569946</c:v>
                </c:pt>
                <c:pt idx="7">
                  <c:v>49.6935040950775</c:v>
                </c:pt>
                <c:pt idx="8">
                  <c:v>53.5160813331604</c:v>
                </c:pt>
                <c:pt idx="9">
                  <c:v>57.338658571243201</c:v>
                </c:pt>
                <c:pt idx="10">
                  <c:v>61.161235809326101</c:v>
                </c:pt>
                <c:pt idx="11">
                  <c:v>64.983813047409001</c:v>
                </c:pt>
                <c:pt idx="12">
                  <c:v>68.806390285491901</c:v>
                </c:pt>
                <c:pt idx="13">
                  <c:v>72.628967523574801</c:v>
                </c:pt>
              </c:numCache>
            </c:numRef>
          </c:xVal>
          <c:yVal>
            <c:numRef>
              <c:f>'231107_WT_4_Cell 2_SPB'!$AF$11:$AF$24</c:f>
              <c:numCache>
                <c:formatCode>General</c:formatCode>
                <c:ptCount val="14"/>
                <c:pt idx="0">
                  <c:v>143</c:v>
                </c:pt>
                <c:pt idx="1">
                  <c:v>146</c:v>
                </c:pt>
                <c:pt idx="2">
                  <c:v>100</c:v>
                </c:pt>
                <c:pt idx="3">
                  <c:v>124</c:v>
                </c:pt>
                <c:pt idx="4">
                  <c:v>164</c:v>
                </c:pt>
                <c:pt idx="5">
                  <c:v>159</c:v>
                </c:pt>
                <c:pt idx="6">
                  <c:v>119</c:v>
                </c:pt>
                <c:pt idx="7">
                  <c:v>145</c:v>
                </c:pt>
                <c:pt idx="8">
                  <c:v>148</c:v>
                </c:pt>
                <c:pt idx="9">
                  <c:v>134</c:v>
                </c:pt>
                <c:pt idx="10">
                  <c:v>162</c:v>
                </c:pt>
                <c:pt idx="11">
                  <c:v>174</c:v>
                </c:pt>
                <c:pt idx="12">
                  <c:v>182</c:v>
                </c:pt>
                <c:pt idx="13">
                  <c:v>136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4CA-4C7F-96BC-CE7E9C72E7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8798264"/>
        <c:axId val="628798592"/>
      </c:scatterChart>
      <c:valAx>
        <c:axId val="6287982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8798592"/>
        <c:crosses val="autoZero"/>
        <c:crossBetween val="midCat"/>
      </c:valAx>
      <c:valAx>
        <c:axId val="628798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87982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'231107_WT_4_Cell 2_SPB'!$AD$11:$AD$24</c:f>
              <c:numCache>
                <c:formatCode>General</c:formatCode>
                <c:ptCount val="14"/>
                <c:pt idx="0">
                  <c:v>22.9354634284973</c:v>
                </c:pt>
                <c:pt idx="1">
                  <c:v>26.7580406665802</c:v>
                </c:pt>
                <c:pt idx="2">
                  <c:v>30.580617904663001</c:v>
                </c:pt>
                <c:pt idx="3">
                  <c:v>34.403195142745901</c:v>
                </c:pt>
                <c:pt idx="4">
                  <c:v>38.225772380828801</c:v>
                </c:pt>
                <c:pt idx="5">
                  <c:v>42.048349618911701</c:v>
                </c:pt>
                <c:pt idx="6">
                  <c:v>45.8709268569946</c:v>
                </c:pt>
                <c:pt idx="7">
                  <c:v>49.6935040950775</c:v>
                </c:pt>
                <c:pt idx="8">
                  <c:v>53.5160813331604</c:v>
                </c:pt>
                <c:pt idx="9">
                  <c:v>57.338658571243201</c:v>
                </c:pt>
                <c:pt idx="10">
                  <c:v>61.161235809326101</c:v>
                </c:pt>
                <c:pt idx="11">
                  <c:v>64.983813047409001</c:v>
                </c:pt>
                <c:pt idx="12">
                  <c:v>68.806390285491901</c:v>
                </c:pt>
                <c:pt idx="13">
                  <c:v>72.628967523574801</c:v>
                </c:pt>
              </c:numCache>
            </c:numRef>
          </c:xVal>
          <c:yVal>
            <c:numRef>
              <c:f>'231107_WT_4_Cell 2_SPB'!$AG$11:$AG$24</c:f>
              <c:numCache>
                <c:formatCode>General</c:formatCode>
                <c:ptCount val="14"/>
                <c:pt idx="0">
                  <c:v>7788</c:v>
                </c:pt>
                <c:pt idx="1">
                  <c:v>7947</c:v>
                </c:pt>
                <c:pt idx="2">
                  <c:v>5701</c:v>
                </c:pt>
                <c:pt idx="3">
                  <c:v>6709</c:v>
                </c:pt>
                <c:pt idx="4">
                  <c:v>8517</c:v>
                </c:pt>
                <c:pt idx="5">
                  <c:v>8272</c:v>
                </c:pt>
                <c:pt idx="6">
                  <c:v>6336</c:v>
                </c:pt>
                <c:pt idx="7">
                  <c:v>7690</c:v>
                </c:pt>
                <c:pt idx="8">
                  <c:v>7748</c:v>
                </c:pt>
                <c:pt idx="9">
                  <c:v>7185</c:v>
                </c:pt>
                <c:pt idx="10">
                  <c:v>8622</c:v>
                </c:pt>
                <c:pt idx="11">
                  <c:v>9122</c:v>
                </c:pt>
                <c:pt idx="12">
                  <c:v>9724</c:v>
                </c:pt>
                <c:pt idx="13">
                  <c:v>7426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AFA-4DB8-BFEE-DF5976FE20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9139912"/>
        <c:axId val="689140240"/>
      </c:scatterChart>
      <c:valAx>
        <c:axId val="6891399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140240"/>
        <c:crosses val="autoZero"/>
        <c:crossBetween val="midCat"/>
      </c:valAx>
      <c:valAx>
        <c:axId val="689140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1399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361950</xdr:colOff>
      <xdr:row>25</xdr:row>
      <xdr:rowOff>133350</xdr:rowOff>
    </xdr:from>
    <xdr:to>
      <xdr:col>19</xdr:col>
      <xdr:colOff>57150</xdr:colOff>
      <xdr:row>40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4BD317C-05C7-440B-80C1-29A79D5D52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80963</xdr:colOff>
      <xdr:row>17</xdr:row>
      <xdr:rowOff>52386</xdr:rowOff>
    </xdr:from>
    <xdr:to>
      <xdr:col>25</xdr:col>
      <xdr:colOff>57151</xdr:colOff>
      <xdr:row>32</xdr:row>
      <xdr:rowOff>90487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874C89D-DD86-4E3B-8362-D42D0F1B9A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35</xdr:col>
      <xdr:colOff>407194</xdr:colOff>
      <xdr:row>13</xdr:row>
      <xdr:rowOff>145256</xdr:rowOff>
    </xdr:from>
    <xdr:to>
      <xdr:col>39</xdr:col>
      <xdr:colOff>364332</xdr:colOff>
      <xdr:row>28</xdr:row>
      <xdr:rowOff>107156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8806D07-5A39-420C-B49B-3608CC8864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35</xdr:col>
      <xdr:colOff>242887</xdr:colOff>
      <xdr:row>0</xdr:row>
      <xdr:rowOff>95250</xdr:rowOff>
    </xdr:from>
    <xdr:to>
      <xdr:col>39</xdr:col>
      <xdr:colOff>190500</xdr:colOff>
      <xdr:row>11</xdr:row>
      <xdr:rowOff>104775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4C17BFD-9C54-4D6F-8F1F-B0F66E7B5F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4"/>
  <sheetViews>
    <sheetView tabSelected="1" topLeftCell="N1" zoomScale="62" zoomScaleNormal="80" workbookViewId="0">
      <selection activeCell="AB33" sqref="AB33"/>
    </sheetView>
  </sheetViews>
  <sheetFormatPr baseColWidth="10" defaultColWidth="8.83203125" defaultRowHeight="15" x14ac:dyDescent="0.2"/>
  <sheetData>
    <row r="1" spans="1:3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35" x14ac:dyDescent="0.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35" x14ac:dyDescent="0.2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</row>
    <row r="4" spans="1:35" x14ac:dyDescent="0.2">
      <c r="B4" t="s">
        <v>30</v>
      </c>
      <c r="C4" t="s">
        <v>30</v>
      </c>
      <c r="D4" t="s">
        <v>30</v>
      </c>
      <c r="E4" t="s">
        <v>31</v>
      </c>
      <c r="G4" t="s">
        <v>32</v>
      </c>
      <c r="H4" t="s">
        <v>32</v>
      </c>
      <c r="I4" t="s">
        <v>32</v>
      </c>
      <c r="J4" t="s">
        <v>32</v>
      </c>
      <c r="K4" t="s">
        <v>32</v>
      </c>
      <c r="L4" t="s">
        <v>32</v>
      </c>
    </row>
    <row r="5" spans="1:35" x14ac:dyDescent="0.2">
      <c r="A5">
        <v>2</v>
      </c>
      <c r="B5">
        <v>3.5933882818595402</v>
      </c>
      <c r="C5">
        <v>3.1331030125085899</v>
      </c>
      <c r="D5">
        <v>2.7348661641694698</v>
      </c>
      <c r="E5">
        <v>0</v>
      </c>
      <c r="F5">
        <v>0</v>
      </c>
      <c r="G5">
        <v>118.348148148148</v>
      </c>
      <c r="H5">
        <v>111</v>
      </c>
      <c r="I5">
        <v>48</v>
      </c>
      <c r="J5">
        <v>197</v>
      </c>
      <c r="K5">
        <v>15977</v>
      </c>
      <c r="L5">
        <v>37.870225873885097</v>
      </c>
      <c r="M5">
        <v>3</v>
      </c>
      <c r="N5">
        <v>5.01523522113329</v>
      </c>
      <c r="O5">
        <v>4.6485985170310098</v>
      </c>
      <c r="P5">
        <v>2.2752531345852498</v>
      </c>
      <c r="Q5">
        <v>0</v>
      </c>
      <c r="R5">
        <v>0</v>
      </c>
      <c r="S5">
        <v>40.259259259259203</v>
      </c>
      <c r="T5">
        <v>40</v>
      </c>
      <c r="U5">
        <v>16</v>
      </c>
      <c r="V5">
        <v>66</v>
      </c>
      <c r="W5">
        <v>5435</v>
      </c>
      <c r="X5">
        <v>12.9718196073187</v>
      </c>
      <c r="Y5">
        <f>E5/60</f>
        <v>0</v>
      </c>
      <c r="Z5">
        <f>SQRT((B5-N5)^2+(C5-O5)^2+(D5-P5)^2)</f>
        <v>2.1282902715356706</v>
      </c>
    </row>
    <row r="6" spans="1:35" x14ac:dyDescent="0.2">
      <c r="A6">
        <v>2</v>
      </c>
      <c r="B6">
        <v>3.6448008726236898</v>
      </c>
      <c r="C6">
        <v>3.1570493630888001</v>
      </c>
      <c r="D6">
        <v>2.8120973254124202</v>
      </c>
      <c r="E6">
        <v>3.82257723808288</v>
      </c>
      <c r="F6">
        <v>1</v>
      </c>
      <c r="G6">
        <v>103.637037037037</v>
      </c>
      <c r="H6">
        <v>101</v>
      </c>
      <c r="I6">
        <v>39</v>
      </c>
      <c r="J6">
        <v>173</v>
      </c>
      <c r="K6">
        <v>13991</v>
      </c>
      <c r="L6">
        <v>34.178986170349503</v>
      </c>
      <c r="M6">
        <v>3</v>
      </c>
      <c r="N6">
        <v>5.0365019966495401</v>
      </c>
      <c r="O6">
        <v>4.67781255566815</v>
      </c>
      <c r="P6">
        <v>2.1305746394862601</v>
      </c>
      <c r="Q6">
        <v>3.82257723808288</v>
      </c>
      <c r="R6">
        <v>1</v>
      </c>
      <c r="S6">
        <v>33.177777777777699</v>
      </c>
      <c r="T6">
        <v>33</v>
      </c>
      <c r="U6">
        <v>12</v>
      </c>
      <c r="V6">
        <v>54</v>
      </c>
      <c r="W6">
        <v>4479</v>
      </c>
      <c r="X6">
        <v>10.480163684111499</v>
      </c>
      <c r="Y6">
        <f t="shared" ref="Y6:Y12" si="0">E6/60</f>
        <v>6.3709620634714664E-2</v>
      </c>
      <c r="Z6">
        <f t="shared" ref="Z6:Z12" si="1">SQRT((B6-N6)^2+(C6-O6)^2+(D6-P6)^2)</f>
        <v>2.1711807566278214</v>
      </c>
    </row>
    <row r="7" spans="1:35" x14ac:dyDescent="0.2">
      <c r="A7">
        <v>2</v>
      </c>
      <c r="B7">
        <v>3.6964993782646598</v>
      </c>
      <c r="C7">
        <v>3.15707925630727</v>
      </c>
      <c r="D7">
        <v>2.8006325574511202</v>
      </c>
      <c r="E7">
        <v>7.6451544761657697</v>
      </c>
      <c r="F7">
        <v>2</v>
      </c>
      <c r="G7">
        <v>95.829629629629594</v>
      </c>
      <c r="H7">
        <v>89</v>
      </c>
      <c r="I7">
        <v>40</v>
      </c>
      <c r="J7">
        <v>161</v>
      </c>
      <c r="K7">
        <v>12937</v>
      </c>
      <c r="L7">
        <v>31.032611816127499</v>
      </c>
      <c r="M7">
        <v>3</v>
      </c>
      <c r="N7">
        <v>5.0259454082681598</v>
      </c>
      <c r="O7">
        <v>4.7237245023034999</v>
      </c>
      <c r="P7">
        <v>1.94526887028561</v>
      </c>
      <c r="Q7">
        <v>7.6451544761657697</v>
      </c>
      <c r="R7">
        <v>2</v>
      </c>
      <c r="S7">
        <v>23.5555555555555</v>
      </c>
      <c r="T7">
        <v>24</v>
      </c>
      <c r="U7">
        <v>10</v>
      </c>
      <c r="V7">
        <v>37</v>
      </c>
      <c r="W7">
        <v>3180</v>
      </c>
      <c r="X7">
        <v>6.9654442022977499</v>
      </c>
      <c r="Y7">
        <f t="shared" si="0"/>
        <v>0.1274192412694295</v>
      </c>
      <c r="Z7">
        <f t="shared" si="1"/>
        <v>2.2256349904726136</v>
      </c>
    </row>
    <row r="8" spans="1:35" x14ac:dyDescent="0.2">
      <c r="A8">
        <v>2</v>
      </c>
      <c r="B8">
        <v>3.63428286467086</v>
      </c>
      <c r="C8">
        <v>3.13306974210448</v>
      </c>
      <c r="D8">
        <v>2.7833144629295798</v>
      </c>
      <c r="E8">
        <v>11.4677317142486</v>
      </c>
      <c r="F8">
        <v>3</v>
      </c>
      <c r="G8">
        <v>65.177777777777706</v>
      </c>
      <c r="H8">
        <v>60</v>
      </c>
      <c r="I8">
        <v>22</v>
      </c>
      <c r="J8">
        <v>119</v>
      </c>
      <c r="K8">
        <v>8799</v>
      </c>
      <c r="L8">
        <v>25.0801302892027</v>
      </c>
      <c r="M8">
        <v>3</v>
      </c>
      <c r="N8">
        <v>4.9556183137154699</v>
      </c>
      <c r="O8">
        <v>4.80722834953652</v>
      </c>
      <c r="P8">
        <v>2.2008831159317399</v>
      </c>
      <c r="Q8">
        <v>11.4677317142486</v>
      </c>
      <c r="R8">
        <v>3</v>
      </c>
      <c r="S8">
        <v>13.288888888888801</v>
      </c>
      <c r="T8">
        <v>13</v>
      </c>
      <c r="U8">
        <v>4</v>
      </c>
      <c r="V8">
        <v>24</v>
      </c>
      <c r="W8">
        <v>1794</v>
      </c>
      <c r="X8">
        <v>5.3599769807183604</v>
      </c>
      <c r="Y8">
        <f t="shared" si="0"/>
        <v>0.19112886190414333</v>
      </c>
      <c r="Z8">
        <f t="shared" si="1"/>
        <v>2.2108732857643441</v>
      </c>
    </row>
    <row r="9" spans="1:35" x14ac:dyDescent="0.2">
      <c r="A9">
        <v>2</v>
      </c>
      <c r="B9">
        <v>3.6092275018737299</v>
      </c>
      <c r="C9">
        <v>3.1480682952057202</v>
      </c>
      <c r="D9">
        <v>2.73779596237602</v>
      </c>
      <c r="E9">
        <v>15.2903089523315</v>
      </c>
      <c r="F9">
        <v>4</v>
      </c>
      <c r="G9">
        <v>60.570370370370298</v>
      </c>
      <c r="H9">
        <v>58</v>
      </c>
      <c r="I9">
        <v>19</v>
      </c>
      <c r="J9">
        <v>111</v>
      </c>
      <c r="K9">
        <v>8177</v>
      </c>
      <c r="L9">
        <v>24.754478183963101</v>
      </c>
      <c r="M9">
        <v>3</v>
      </c>
      <c r="N9">
        <v>5.0426093840981299</v>
      </c>
      <c r="O9">
        <v>4.8139773214609098</v>
      </c>
      <c r="P9">
        <v>2.2025973069010401</v>
      </c>
      <c r="Q9">
        <v>15.2903089523315</v>
      </c>
      <c r="R9">
        <v>4</v>
      </c>
      <c r="S9">
        <v>9.4370370370370296</v>
      </c>
      <c r="T9">
        <v>8</v>
      </c>
      <c r="U9">
        <v>3</v>
      </c>
      <c r="V9">
        <v>18</v>
      </c>
      <c r="W9">
        <v>1274</v>
      </c>
      <c r="X9">
        <v>3.6744527613827001</v>
      </c>
      <c r="Y9">
        <f t="shared" si="0"/>
        <v>0.25483848253885832</v>
      </c>
      <c r="Z9">
        <f t="shared" si="1"/>
        <v>2.2619182356729661</v>
      </c>
    </row>
    <row r="10" spans="1:35" x14ac:dyDescent="0.2">
      <c r="A10">
        <v>2</v>
      </c>
      <c r="B10">
        <v>3.4861397045232998</v>
      </c>
      <c r="C10">
        <v>3.1761220912141899</v>
      </c>
      <c r="D10">
        <v>2.7075849657770301</v>
      </c>
      <c r="E10">
        <v>19.1128861904144</v>
      </c>
      <c r="F10">
        <v>5</v>
      </c>
      <c r="G10">
        <v>46.903703703703698</v>
      </c>
      <c r="H10">
        <v>45</v>
      </c>
      <c r="I10">
        <v>13</v>
      </c>
      <c r="J10">
        <v>84</v>
      </c>
      <c r="K10">
        <v>6332</v>
      </c>
      <c r="L10">
        <v>18.756839180175199</v>
      </c>
      <c r="M10">
        <v>3</v>
      </c>
      <c r="N10">
        <v>4.9790656236346704</v>
      </c>
      <c r="O10">
        <v>4.7521751881628003</v>
      </c>
      <c r="P10">
        <v>2.0633953902249198</v>
      </c>
      <c r="Q10">
        <v>19.1128861904144</v>
      </c>
      <c r="R10">
        <v>5</v>
      </c>
      <c r="S10">
        <v>10.1259259259259</v>
      </c>
      <c r="T10">
        <v>9</v>
      </c>
      <c r="U10">
        <v>4</v>
      </c>
      <c r="V10">
        <v>19</v>
      </c>
      <c r="W10">
        <v>1367</v>
      </c>
      <c r="X10">
        <v>4.0911802289942996</v>
      </c>
      <c r="Y10">
        <f t="shared" si="0"/>
        <v>0.31854810317357335</v>
      </c>
      <c r="Z10">
        <f t="shared" si="1"/>
        <v>2.2644538797700973</v>
      </c>
    </row>
    <row r="11" spans="1:35" x14ac:dyDescent="0.2">
      <c r="A11">
        <v>2</v>
      </c>
      <c r="B11">
        <v>3.3537688225825399</v>
      </c>
      <c r="C11">
        <v>3.1184934507896802</v>
      </c>
      <c r="D11">
        <v>2.73619493230147</v>
      </c>
      <c r="E11">
        <v>22.9354634284973</v>
      </c>
      <c r="F11">
        <v>6</v>
      </c>
      <c r="G11">
        <v>41.896296296296299</v>
      </c>
      <c r="H11">
        <v>41</v>
      </c>
      <c r="I11">
        <v>15</v>
      </c>
      <c r="J11">
        <v>76</v>
      </c>
      <c r="K11">
        <v>5656</v>
      </c>
      <c r="L11">
        <v>16.283071547347198</v>
      </c>
      <c r="M11">
        <v>3</v>
      </c>
      <c r="N11">
        <v>4.9288756057576499</v>
      </c>
      <c r="O11">
        <v>4.7078219615523897</v>
      </c>
      <c r="P11">
        <v>2.2296069761606301</v>
      </c>
      <c r="Q11">
        <v>22.9354634284973</v>
      </c>
      <c r="R11">
        <v>6</v>
      </c>
      <c r="S11">
        <v>5.6592592592592501</v>
      </c>
      <c r="T11">
        <v>5</v>
      </c>
      <c r="U11">
        <v>2</v>
      </c>
      <c r="V11">
        <v>10</v>
      </c>
      <c r="W11">
        <v>764</v>
      </c>
      <c r="X11">
        <v>2.1962075961569201</v>
      </c>
      <c r="Y11">
        <f t="shared" si="0"/>
        <v>0.38225772380828832</v>
      </c>
      <c r="Z11">
        <f t="shared" si="1"/>
        <v>2.2942445054602199</v>
      </c>
      <c r="AA11">
        <v>1.2049527151972399</v>
      </c>
      <c r="AB11">
        <v>1.2683001805207099</v>
      </c>
      <c r="AC11">
        <v>2.6523647420859402</v>
      </c>
      <c r="AD11">
        <v>22.9354634284973</v>
      </c>
      <c r="AE11">
        <v>6</v>
      </c>
      <c r="AF11">
        <v>143</v>
      </c>
      <c r="AG11">
        <v>7788</v>
      </c>
      <c r="AH11">
        <f>SQRT((B11-AA11)^2+(C11-AB11)^2+(D11-AC11)^2)</f>
        <v>2.8368386104074852</v>
      </c>
      <c r="AI11">
        <f>SQRT((N11-AA11)^2+(O11-AB11)^2+(P11-AC11)^2)</f>
        <v>5.0869082855582617</v>
      </c>
    </row>
    <row r="12" spans="1:35" x14ac:dyDescent="0.2">
      <c r="A12">
        <v>2</v>
      </c>
      <c r="B12">
        <v>3.1610131747338799</v>
      </c>
      <c r="C12">
        <v>3.07839378862792</v>
      </c>
      <c r="D12">
        <v>2.7759457920046602</v>
      </c>
      <c r="E12">
        <v>26.7580406665802</v>
      </c>
      <c r="F12">
        <v>7</v>
      </c>
      <c r="G12">
        <v>41.148148148148103</v>
      </c>
      <c r="H12">
        <v>40</v>
      </c>
      <c r="I12">
        <v>14</v>
      </c>
      <c r="J12">
        <v>73</v>
      </c>
      <c r="K12">
        <v>5555</v>
      </c>
      <c r="L12">
        <v>15.7544206155958</v>
      </c>
      <c r="M12">
        <v>3</v>
      </c>
      <c r="N12">
        <v>4.8604003647941401</v>
      </c>
      <c r="O12">
        <v>4.68918660238102</v>
      </c>
      <c r="P12">
        <v>2.1506237627036602</v>
      </c>
      <c r="Q12">
        <v>26.7580406665802</v>
      </c>
      <c r="R12">
        <v>7</v>
      </c>
      <c r="S12">
        <v>10.0592592592592</v>
      </c>
      <c r="T12">
        <v>9</v>
      </c>
      <c r="U12">
        <v>3</v>
      </c>
      <c r="V12">
        <v>19</v>
      </c>
      <c r="W12">
        <v>1358</v>
      </c>
      <c r="X12">
        <v>4.2422237250969603</v>
      </c>
      <c r="Y12">
        <f t="shared" si="0"/>
        <v>0.44596734444300334</v>
      </c>
      <c r="Z12">
        <f t="shared" si="1"/>
        <v>2.4235506908064988</v>
      </c>
      <c r="AA12">
        <v>1.1869250882387301</v>
      </c>
      <c r="AB12">
        <v>1.24992701938013</v>
      </c>
      <c r="AC12">
        <v>2.5657973549799502</v>
      </c>
      <c r="AD12">
        <v>26.7580406665802</v>
      </c>
      <c r="AE12">
        <v>7</v>
      </c>
      <c r="AF12">
        <v>146</v>
      </c>
      <c r="AG12">
        <v>7947</v>
      </c>
      <c r="AH12">
        <f t="shared" ref="AH12:AH24" si="2">SQRT((B12-AA12)^2+(C12-AB12)^2+(D12-AC12)^2)</f>
        <v>2.6989770034347202</v>
      </c>
      <c r="AI12">
        <f t="shared" ref="AI12" si="3">SQRT((N12-AA12)^2+(O12-AB12)^2+(P12-AC12)^2)</f>
        <v>5.0492867019462171</v>
      </c>
    </row>
    <row r="13" spans="1:35" x14ac:dyDescent="0.2">
      <c r="A13">
        <v>2</v>
      </c>
      <c r="B13">
        <v>3.0600961772873201</v>
      </c>
      <c r="C13">
        <v>2.9589592472514701</v>
      </c>
      <c r="D13">
        <v>2.58718865229147</v>
      </c>
      <c r="E13">
        <v>30.580617904663001</v>
      </c>
      <c r="F13">
        <v>8</v>
      </c>
      <c r="G13">
        <v>76.651851851851802</v>
      </c>
      <c r="H13">
        <v>75</v>
      </c>
      <c r="I13">
        <v>23</v>
      </c>
      <c r="J13">
        <v>138</v>
      </c>
      <c r="K13">
        <v>10348</v>
      </c>
      <c r="L13">
        <v>29.9223668447171</v>
      </c>
      <c r="Z13">
        <f>AVERAGE(Z5:Z12)</f>
        <v>2.2475183270137791</v>
      </c>
      <c r="AA13">
        <v>1.18233943831177</v>
      </c>
      <c r="AB13">
        <v>1.2732532807813901</v>
      </c>
      <c r="AC13">
        <v>2.5680606460456699</v>
      </c>
      <c r="AD13">
        <v>30.580617904663001</v>
      </c>
      <c r="AE13">
        <v>8</v>
      </c>
      <c r="AF13">
        <v>100</v>
      </c>
      <c r="AG13">
        <v>5701</v>
      </c>
      <c r="AH13">
        <f t="shared" si="2"/>
        <v>2.5234779287292879</v>
      </c>
    </row>
    <row r="14" spans="1:35" x14ac:dyDescent="0.2">
      <c r="A14">
        <v>2</v>
      </c>
      <c r="B14">
        <v>2.95816547404061</v>
      </c>
      <c r="C14">
        <v>2.8588453248933599</v>
      </c>
      <c r="D14">
        <v>2.58582475378959</v>
      </c>
      <c r="E14">
        <v>34.403195142745901</v>
      </c>
      <c r="F14">
        <v>9</v>
      </c>
      <c r="G14">
        <v>91.155555555555495</v>
      </c>
      <c r="H14">
        <v>89</v>
      </c>
      <c r="I14">
        <v>29</v>
      </c>
      <c r="J14">
        <v>155</v>
      </c>
      <c r="K14">
        <v>12306</v>
      </c>
      <c r="L14">
        <v>32.185531807186898</v>
      </c>
      <c r="AA14">
        <v>1.2102262549596601</v>
      </c>
      <c r="AB14">
        <v>1.24730248951639</v>
      </c>
      <c r="AC14">
        <v>2.6428888764870999</v>
      </c>
      <c r="AD14">
        <v>34.403195142745901</v>
      </c>
      <c r="AE14">
        <v>9</v>
      </c>
      <c r="AF14">
        <v>124</v>
      </c>
      <c r="AG14">
        <v>6709</v>
      </c>
      <c r="AH14">
        <f t="shared" si="2"/>
        <v>2.378154355367919</v>
      </c>
    </row>
    <row r="15" spans="1:35" x14ac:dyDescent="0.2">
      <c r="A15">
        <v>2</v>
      </c>
      <c r="B15">
        <v>2.8671775306131502</v>
      </c>
      <c r="C15">
        <v>2.8142349968512801</v>
      </c>
      <c r="D15">
        <v>2.6398442521799499</v>
      </c>
      <c r="E15">
        <v>38.225772380828801</v>
      </c>
      <c r="F15">
        <v>10</v>
      </c>
      <c r="G15">
        <v>54.548148148148101</v>
      </c>
      <c r="H15">
        <v>53</v>
      </c>
      <c r="I15">
        <v>21</v>
      </c>
      <c r="J15">
        <v>92</v>
      </c>
      <c r="K15">
        <v>7364</v>
      </c>
      <c r="L15">
        <v>18.178517138397801</v>
      </c>
      <c r="AA15">
        <v>1.1991682315601899</v>
      </c>
      <c r="AB15">
        <v>1.2522188981447999</v>
      </c>
      <c r="AC15">
        <v>2.57534588024857</v>
      </c>
      <c r="AD15">
        <v>38.225772380828801</v>
      </c>
      <c r="AE15">
        <v>10</v>
      </c>
      <c r="AF15">
        <v>164</v>
      </c>
      <c r="AG15">
        <v>8517</v>
      </c>
      <c r="AH15">
        <f t="shared" si="2"/>
        <v>2.2861122794664217</v>
      </c>
    </row>
    <row r="16" spans="1:35" x14ac:dyDescent="0.2">
      <c r="A16">
        <v>2</v>
      </c>
      <c r="B16">
        <v>2.72055660755642</v>
      </c>
      <c r="C16">
        <v>2.7585160439816701</v>
      </c>
      <c r="D16">
        <v>2.7427735180164099</v>
      </c>
      <c r="E16">
        <v>42.048349618911701</v>
      </c>
      <c r="F16">
        <v>11</v>
      </c>
      <c r="G16">
        <v>43.540740740740702</v>
      </c>
      <c r="H16">
        <v>42</v>
      </c>
      <c r="I16">
        <v>18</v>
      </c>
      <c r="J16">
        <v>71</v>
      </c>
      <c r="K16">
        <v>5878</v>
      </c>
      <c r="L16">
        <v>13.4212812537396</v>
      </c>
      <c r="AA16">
        <v>1.1887908806091001</v>
      </c>
      <c r="AB16">
        <v>1.2547353347161601</v>
      </c>
      <c r="AC16">
        <v>2.5532303065721398</v>
      </c>
      <c r="AD16">
        <v>42.048349618911701</v>
      </c>
      <c r="AE16">
        <v>11</v>
      </c>
      <c r="AF16">
        <v>159</v>
      </c>
      <c r="AG16">
        <v>8272</v>
      </c>
      <c r="AH16">
        <f t="shared" si="2"/>
        <v>2.154898905474254</v>
      </c>
    </row>
    <row r="17" spans="1:34" x14ac:dyDescent="0.2">
      <c r="A17">
        <v>2</v>
      </c>
      <c r="B17">
        <v>2.7233509803693599</v>
      </c>
      <c r="C17">
        <v>2.6089359824289802</v>
      </c>
      <c r="D17">
        <v>2.7465997252368601</v>
      </c>
      <c r="E17">
        <v>45.8709268569946</v>
      </c>
      <c r="F17">
        <v>12</v>
      </c>
      <c r="G17">
        <v>34.837037037037</v>
      </c>
      <c r="H17">
        <v>34</v>
      </c>
      <c r="I17">
        <v>11</v>
      </c>
      <c r="J17">
        <v>64</v>
      </c>
      <c r="K17">
        <v>4703</v>
      </c>
      <c r="L17">
        <v>13.8532863752302</v>
      </c>
      <c r="AA17">
        <v>1.16258109846034</v>
      </c>
      <c r="AB17">
        <v>1.3240677591535099</v>
      </c>
      <c r="AC17">
        <v>2.5034434802201901</v>
      </c>
      <c r="AD17">
        <v>45.8709268569946</v>
      </c>
      <c r="AE17">
        <v>12</v>
      </c>
      <c r="AF17">
        <v>119</v>
      </c>
      <c r="AG17">
        <v>6336</v>
      </c>
      <c r="AH17">
        <f t="shared" si="2"/>
        <v>2.0361763025209694</v>
      </c>
    </row>
    <row r="18" spans="1:34" x14ac:dyDescent="0.2">
      <c r="A18">
        <v>2</v>
      </c>
      <c r="B18">
        <v>2.6513344877103799</v>
      </c>
      <c r="C18">
        <v>2.42100982116161</v>
      </c>
      <c r="D18">
        <v>2.8391335900966901</v>
      </c>
      <c r="E18">
        <v>49.6935040950775</v>
      </c>
      <c r="F18">
        <v>13</v>
      </c>
      <c r="G18">
        <v>27.814814814814799</v>
      </c>
      <c r="H18">
        <v>26</v>
      </c>
      <c r="I18">
        <v>8</v>
      </c>
      <c r="J18">
        <v>50</v>
      </c>
      <c r="K18">
        <v>3755</v>
      </c>
      <c r="L18">
        <v>11.000804031120699</v>
      </c>
      <c r="AA18">
        <v>1.2058626210097501</v>
      </c>
      <c r="AB18">
        <v>1.3901595688305</v>
      </c>
      <c r="AC18">
        <v>2.44779072262935</v>
      </c>
      <c r="AD18">
        <v>49.6935040950775</v>
      </c>
      <c r="AE18">
        <v>13</v>
      </c>
      <c r="AF18">
        <v>145</v>
      </c>
      <c r="AG18">
        <v>7690</v>
      </c>
      <c r="AH18">
        <f t="shared" si="2"/>
        <v>1.8180182617541762</v>
      </c>
    </row>
    <row r="19" spans="1:34" x14ac:dyDescent="0.2">
      <c r="A19">
        <v>2</v>
      </c>
      <c r="B19">
        <v>2.5045813114695799</v>
      </c>
      <c r="C19">
        <v>2.3401162236323501</v>
      </c>
      <c r="D19">
        <v>2.6841718762076399</v>
      </c>
      <c r="E19">
        <v>53.5160813331604</v>
      </c>
      <c r="F19">
        <v>14</v>
      </c>
      <c r="G19">
        <v>39.718518518518501</v>
      </c>
      <c r="H19">
        <v>37</v>
      </c>
      <c r="I19">
        <v>14</v>
      </c>
      <c r="J19">
        <v>75</v>
      </c>
      <c r="K19">
        <v>5362</v>
      </c>
      <c r="L19">
        <v>15.948916517661599</v>
      </c>
      <c r="AA19">
        <v>1.1814273609605499</v>
      </c>
      <c r="AB19">
        <v>1.38958111030387</v>
      </c>
      <c r="AC19">
        <v>2.4641973878832699</v>
      </c>
      <c r="AD19">
        <v>53.5160813331604</v>
      </c>
      <c r="AE19">
        <v>14</v>
      </c>
      <c r="AF19">
        <v>148</v>
      </c>
      <c r="AG19">
        <v>7748</v>
      </c>
      <c r="AH19">
        <f t="shared" si="2"/>
        <v>1.643971457760629</v>
      </c>
    </row>
    <row r="20" spans="1:34" x14ac:dyDescent="0.2">
      <c r="A20">
        <v>2</v>
      </c>
      <c r="B20">
        <v>2.3018847251957499</v>
      </c>
      <c r="C20">
        <v>2.2869676164441901</v>
      </c>
      <c r="D20">
        <v>2.6001228293788001</v>
      </c>
      <c r="E20">
        <v>57.338658571243201</v>
      </c>
      <c r="F20">
        <v>15</v>
      </c>
      <c r="G20">
        <v>47.7259259259259</v>
      </c>
      <c r="H20">
        <v>46</v>
      </c>
      <c r="I20">
        <v>14</v>
      </c>
      <c r="J20">
        <v>88</v>
      </c>
      <c r="K20">
        <v>6443</v>
      </c>
      <c r="L20">
        <v>19.056643621421699</v>
      </c>
      <c r="AA20">
        <v>1.18082150392949</v>
      </c>
      <c r="AB20">
        <v>1.3447426547099</v>
      </c>
      <c r="AC20">
        <v>2.4115061067612502</v>
      </c>
      <c r="AD20">
        <v>57.338658571243201</v>
      </c>
      <c r="AE20">
        <v>15</v>
      </c>
      <c r="AF20">
        <v>134</v>
      </c>
      <c r="AG20">
        <v>7185</v>
      </c>
      <c r="AH20">
        <f t="shared" si="2"/>
        <v>1.4765320493108347</v>
      </c>
    </row>
    <row r="21" spans="1:34" x14ac:dyDescent="0.2">
      <c r="A21">
        <v>2</v>
      </c>
      <c r="B21">
        <v>2.1569919073700898</v>
      </c>
      <c r="C21">
        <v>2.2057063743879599</v>
      </c>
      <c r="D21">
        <v>2.70486037977496</v>
      </c>
      <c r="E21">
        <v>61.161235809326101</v>
      </c>
      <c r="F21">
        <v>16</v>
      </c>
      <c r="G21">
        <v>40.429629629629602</v>
      </c>
      <c r="H21">
        <v>40</v>
      </c>
      <c r="I21">
        <v>12</v>
      </c>
      <c r="J21">
        <v>77</v>
      </c>
      <c r="K21">
        <v>5458</v>
      </c>
      <c r="L21">
        <v>17.0572087184505</v>
      </c>
      <c r="AA21">
        <v>1.1571863981471699</v>
      </c>
      <c r="AB21">
        <v>1.35070071323776</v>
      </c>
      <c r="AC21">
        <v>2.4244932065667002</v>
      </c>
      <c r="AD21">
        <v>61.161235809326101</v>
      </c>
      <c r="AE21">
        <v>16</v>
      </c>
      <c r="AF21">
        <v>162</v>
      </c>
      <c r="AG21">
        <v>8622</v>
      </c>
      <c r="AH21">
        <f t="shared" si="2"/>
        <v>1.3450841939016989</v>
      </c>
    </row>
    <row r="22" spans="1:34" x14ac:dyDescent="0.2">
      <c r="A22">
        <v>2</v>
      </c>
      <c r="B22">
        <v>2.0221674219027101</v>
      </c>
      <c r="C22">
        <v>2.1776903625850101</v>
      </c>
      <c r="D22">
        <v>2.5759464249649402</v>
      </c>
      <c r="E22">
        <v>64.983813047409001</v>
      </c>
      <c r="F22">
        <v>17</v>
      </c>
      <c r="G22">
        <v>36.792592592592499</v>
      </c>
      <c r="H22">
        <v>36</v>
      </c>
      <c r="I22">
        <v>11</v>
      </c>
      <c r="J22">
        <v>66</v>
      </c>
      <c r="K22">
        <v>4967</v>
      </c>
      <c r="L22">
        <v>14.630828368574701</v>
      </c>
      <c r="AA22">
        <v>1.1286562285325901</v>
      </c>
      <c r="AB22">
        <v>1.4352539907810899</v>
      </c>
      <c r="AC22">
        <v>2.5115648660855601</v>
      </c>
      <c r="AD22">
        <v>64.983813047409001</v>
      </c>
      <c r="AE22">
        <v>17</v>
      </c>
      <c r="AF22">
        <v>174</v>
      </c>
      <c r="AG22">
        <v>9122</v>
      </c>
      <c r="AH22">
        <f t="shared" si="2"/>
        <v>1.1634943076692743</v>
      </c>
    </row>
    <row r="23" spans="1:34" x14ac:dyDescent="0.2">
      <c r="A23">
        <v>2</v>
      </c>
      <c r="B23">
        <v>1.95459389696009</v>
      </c>
      <c r="C23">
        <v>2.02895027517541</v>
      </c>
      <c r="D23">
        <v>2.6513302708497601</v>
      </c>
      <c r="E23">
        <v>68.806390285491901</v>
      </c>
      <c r="F23">
        <v>18</v>
      </c>
      <c r="G23">
        <v>39.237037037036998</v>
      </c>
      <c r="H23">
        <v>38</v>
      </c>
      <c r="I23">
        <v>12</v>
      </c>
      <c r="J23">
        <v>73</v>
      </c>
      <c r="K23">
        <v>5297</v>
      </c>
      <c r="L23">
        <v>16.187892752064698</v>
      </c>
      <c r="AA23">
        <v>1.0958642148126001</v>
      </c>
      <c r="AB23">
        <v>1.4241816479477301</v>
      </c>
      <c r="AC23">
        <v>2.5676520090227202</v>
      </c>
      <c r="AD23">
        <v>68.806390285491901</v>
      </c>
      <c r="AE23">
        <v>18</v>
      </c>
      <c r="AF23">
        <v>182</v>
      </c>
      <c r="AG23">
        <v>9724</v>
      </c>
      <c r="AH23">
        <f t="shared" si="2"/>
        <v>1.0536431136691287</v>
      </c>
    </row>
    <row r="24" spans="1:34" x14ac:dyDescent="0.2">
      <c r="A24">
        <v>2</v>
      </c>
      <c r="B24">
        <v>1.86743688222982</v>
      </c>
      <c r="C24">
        <v>1.9823255746612201</v>
      </c>
      <c r="D24">
        <v>2.7281823655172102</v>
      </c>
      <c r="E24">
        <v>72.628967523574801</v>
      </c>
      <c r="F24">
        <v>19</v>
      </c>
      <c r="G24">
        <v>27.044444444444402</v>
      </c>
      <c r="H24">
        <v>26</v>
      </c>
      <c r="I24">
        <v>7</v>
      </c>
      <c r="J24">
        <v>49</v>
      </c>
      <c r="K24">
        <v>3651</v>
      </c>
      <c r="L24">
        <v>11.008725621115</v>
      </c>
      <c r="Z24">
        <f>SQRT((B24-B11)^2+(C24-C11)^2+(D24-D11)^2)</f>
        <v>1.8708619085558962</v>
      </c>
      <c r="AA24">
        <v>1.08237027549584</v>
      </c>
      <c r="AB24">
        <v>1.45276712658163</v>
      </c>
      <c r="AC24">
        <v>2.49902502722678</v>
      </c>
      <c r="AD24">
        <v>72.628967523574801</v>
      </c>
      <c r="AE24">
        <v>19</v>
      </c>
      <c r="AF24">
        <v>136</v>
      </c>
      <c r="AG24">
        <v>7426</v>
      </c>
      <c r="AH24">
        <f t="shared" si="2"/>
        <v>0.97430735018967407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231107_WT_4_Cell 2_SPB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Katherine Morelli</cp:lastModifiedBy>
  <dcterms:created xsi:type="dcterms:W3CDTF">2023-11-30T19:51:27Z</dcterms:created>
  <dcterms:modified xsi:type="dcterms:W3CDTF">2024-04-11T22:42:24Z</dcterms:modified>
</cp:coreProperties>
</file>