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825094AF-AC07-478C-A01B-A8D191C46EDD}" xr6:coauthVersionLast="45" xr6:coauthVersionMax="45" xr10:uidLastSave="{00000000-0000-0000-0000-000000000000}"/>
  <bookViews>
    <workbookView xWindow="30090" yWindow="450" windowWidth="23790" windowHeight="13980" xr2:uid="{00000000-000D-0000-FFFF-FFFF00000000}"/>
  </bookViews>
  <sheets>
    <sheet name="231107_WT_14_Cell 1_Kar9_13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6" i="1" l="1"/>
  <c r="L13" i="1"/>
  <c r="L14" i="1"/>
  <c r="L15" i="1"/>
  <c r="K35" i="1"/>
  <c r="K36" i="1"/>
  <c r="K37" i="1"/>
  <c r="K34" i="1"/>
  <c r="K14" i="1"/>
  <c r="K15" i="1"/>
  <c r="K13" i="1"/>
  <c r="K26" i="1"/>
  <c r="K27" i="1"/>
  <c r="K28" i="1"/>
  <c r="K29" i="1"/>
  <c r="K30" i="1"/>
  <c r="K25" i="1"/>
  <c r="K19" i="1"/>
  <c r="K20" i="1"/>
  <c r="K21" i="1"/>
  <c r="K22" i="1"/>
  <c r="K23" i="1"/>
  <c r="K24" i="1"/>
  <c r="K18" i="1"/>
  <c r="K6" i="1"/>
  <c r="K7" i="1"/>
  <c r="K8" i="1"/>
  <c r="K9" i="1"/>
  <c r="K10" i="1"/>
  <c r="K5" i="1"/>
  <c r="M51" i="1"/>
  <c r="M52" i="1"/>
  <c r="M53" i="1"/>
  <c r="L17" i="1"/>
  <c r="L12" i="1"/>
  <c r="K12" i="1"/>
  <c r="L51" i="1"/>
  <c r="L52" i="1"/>
  <c r="L53" i="1"/>
  <c r="K16" i="1"/>
  <c r="K17" i="1"/>
  <c r="K11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<sst xmlns="http://schemas.openxmlformats.org/spreadsheetml/2006/main" count="34" uniqueCount="24">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</sst>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1_Kar9_13_19'!$E$11:$E$17</c:f>
              <c:numCache>
                <c:formatCode>General</c:formatCode>
                <c:ptCount val="7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  <c:pt idx="4">
                  <c:v>15.2869606018066</c:v>
                </c:pt>
                <c:pt idx="5">
                  <c:v>19.108700752258301</c:v>
                </c:pt>
                <c:pt idx="6">
                  <c:v>22.930440902709901</c:v>
                </c:pt>
              </c:numCache>
            </c:numRef>
          </c:xVal>
          <c:yVal>
            <c:numRef>
              <c:f>'231107_WT_14_Cell 1_Kar9_13_19'!$K$11:$K$17</c:f>
              <c:numCache>
                <c:formatCode>General</c:formatCode>
                <c:ptCount val="7"/>
                <c:pt idx="0">
                  <c:v>2.1298539058496719</c:v>
                </c:pt>
                <c:pt idx="1">
                  <c:v>2.2330178138515562</c:v>
                </c:pt>
                <c:pt idx="2">
                  <c:v>2.3513884044094491</c:v>
                </c:pt>
                <c:pt idx="3">
                  <c:v>2.2005755685285089</c:v>
                </c:pt>
                <c:pt idx="4">
                  <c:v>2.1646056253069244</c:v>
                </c:pt>
                <c:pt idx="5">
                  <c:v>1.7280310197509132</c:v>
                </c:pt>
                <c:pt idx="6">
                  <c:v>1.6906791025581469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F-4290-8754-8E33877BA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047072"/>
        <c:axId val="628047400"/>
      </c:scatterChart>
      <c:valAx>
        <c:axId val="62804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47400"/>
        <c:crosses val="autoZero"/>
        <c:crossBetween val="midCat"/>
      </c:valAx>
      <c:valAx>
        <c:axId val="62804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4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816439084354965"/>
          <c:y val="8.4321440635132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1_Kar9_13_19'!$E$34:$E$37</c:f>
              <c:numCache>
                <c:formatCode>General</c:formatCode>
                <c:ptCount val="4"/>
                <c:pt idx="0">
                  <c:v>3.8217401504516602</c:v>
                </c:pt>
                <c:pt idx="1">
                  <c:v>7.6434803009033203</c:v>
                </c:pt>
                <c:pt idx="2">
                  <c:v>11.465220451354901</c:v>
                </c:pt>
                <c:pt idx="3">
                  <c:v>15.2869606018066</c:v>
                </c:pt>
              </c:numCache>
            </c:numRef>
          </c:xVal>
          <c:yVal>
            <c:numRef>
              <c:f>'231107_WT_14_Cell 1_Kar9_13_19'!$K$34:$K$37</c:f>
              <c:numCache>
                <c:formatCode>General</c:formatCode>
                <c:ptCount val="4"/>
                <c:pt idx="0">
                  <c:v>1.7533668696397608</c:v>
                </c:pt>
                <c:pt idx="1">
                  <c:v>1.7620882553288701</c:v>
                </c:pt>
                <c:pt idx="2">
                  <c:v>1.6973887084333885</c:v>
                </c:pt>
                <c:pt idx="3">
                  <c:v>1.7542191671579968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3-48F2-AE75-25295B373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09384"/>
        <c:axId val="389409712"/>
      </c:scatterChart>
      <c:valAx>
        <c:axId val="38940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09712"/>
        <c:crosses val="autoZero"/>
        <c:crossBetween val="midCat"/>
      </c:valAx>
      <c:valAx>
        <c:axId val="38940971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09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1_Kar9_13_19'!$E$13:$E$15</c:f>
              <c:numCache>
                <c:formatCode>General</c:formatCode>
                <c:ptCount val="3"/>
                <c:pt idx="0">
                  <c:v>7.6434803009033203</c:v>
                </c:pt>
                <c:pt idx="1">
                  <c:v>11.465220451354901</c:v>
                </c:pt>
                <c:pt idx="2">
                  <c:v>15.2869606018066</c:v>
                </c:pt>
              </c:numCache>
            </c:numRef>
          </c:xVal>
          <c:yVal>
            <c:numRef>
              <c:f>'231107_WT_14_Cell 1_Kar9_13_19'!$K$13:$K$15</c:f>
              <c:numCache>
                <c:formatCode>General</c:formatCode>
                <c:ptCount val="3"/>
                <c:pt idx="0">
                  <c:v>2.3513884044094491</c:v>
                </c:pt>
                <c:pt idx="1">
                  <c:v>2.2005755685285089</c:v>
                </c:pt>
                <c:pt idx="2">
                  <c:v>2.1646056253069244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3-41B9-9AD4-FD0F0FAC8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09592"/>
        <c:axId val="376409920"/>
      </c:scatterChart>
      <c:valAx>
        <c:axId val="37640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09920"/>
        <c:crosses val="autoZero"/>
        <c:crossBetween val="midCat"/>
      </c:valAx>
      <c:valAx>
        <c:axId val="37640992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09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1_Kar9_13_19'!$E$11:$E$17</c:f>
              <c:numCache>
                <c:formatCode>General</c:formatCode>
                <c:ptCount val="7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  <c:pt idx="4">
                  <c:v>15.2869606018066</c:v>
                </c:pt>
                <c:pt idx="5">
                  <c:v>19.108700752258301</c:v>
                </c:pt>
                <c:pt idx="6">
                  <c:v>22.930440902709901</c:v>
                </c:pt>
              </c:numCache>
            </c:numRef>
          </c:xVal>
          <c:yVal>
            <c:numRef>
              <c:f>'231107_WT_14_Cell 1_Kar9_13_19'!$I$11:$I$17</c:f>
              <c:numCache>
                <c:formatCode>General</c:formatCode>
                <c:ptCount val="7"/>
                <c:pt idx="0">
                  <c:v>5942</c:v>
                </c:pt>
                <c:pt idx="1">
                  <c:v>4098</c:v>
                </c:pt>
                <c:pt idx="2">
                  <c:v>4032</c:v>
                </c:pt>
                <c:pt idx="3">
                  <c:v>1887</c:v>
                </c:pt>
                <c:pt idx="4">
                  <c:v>1594</c:v>
                </c:pt>
                <c:pt idx="5">
                  <c:v>4439</c:v>
                </c:pt>
                <c:pt idx="6">
                  <c:v>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B-45F6-BF40-801E2808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12664"/>
        <c:axId val="389412992"/>
      </c:scatterChart>
      <c:valAx>
        <c:axId val="38941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12992"/>
        <c:crosses val="autoZero"/>
        <c:crossBetween val="midCat"/>
      </c:valAx>
      <c:valAx>
        <c:axId val="3894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1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1_Kar9_13_19'!$E$13:$E$15</c:f>
              <c:numCache>
                <c:formatCode>General</c:formatCode>
                <c:ptCount val="3"/>
                <c:pt idx="0">
                  <c:v>7.6434803009033203</c:v>
                </c:pt>
                <c:pt idx="1">
                  <c:v>11.465220451354901</c:v>
                </c:pt>
                <c:pt idx="2">
                  <c:v>15.2869606018066</c:v>
                </c:pt>
              </c:numCache>
            </c:numRef>
          </c:xVal>
          <c:yVal>
            <c:numRef>
              <c:f>'231107_WT_14_Cell 1_Kar9_13_19'!$I$13:$I$15</c:f>
              <c:numCache>
                <c:formatCode>General</c:formatCode>
                <c:ptCount val="3"/>
                <c:pt idx="0">
                  <c:v>4032</c:v>
                </c:pt>
                <c:pt idx="1">
                  <c:v>1887</c:v>
                </c:pt>
                <c:pt idx="2">
                  <c:v>1594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3-490C-99EA-0638DAAA9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3408"/>
        <c:axId val="377873736"/>
      </c:scatterChart>
      <c:valAx>
        <c:axId val="3778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736"/>
        <c:crosses val="autoZero"/>
        <c:crossBetween val="midCat"/>
      </c:valAx>
      <c:valAx>
        <c:axId val="3778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'231107_WT_14_Cell 1_Kar9_13_19'!$E$11:$E$17</c:f>
              <c:numCache>
                <c:formatCode>General</c:formatCode>
                <c:ptCount val="7"/>
                <c:pt idx="0">
                  <c:v>0</c:v>
                </c:pt>
                <c:pt idx="1">
                  <c:v>3.8217401504516602</c:v>
                </c:pt>
                <c:pt idx="2">
                  <c:v>7.6434803009033203</c:v>
                </c:pt>
                <c:pt idx="3">
                  <c:v>11.465220451354901</c:v>
                </c:pt>
                <c:pt idx="4">
                  <c:v>15.2869606018066</c:v>
                </c:pt>
                <c:pt idx="5">
                  <c:v>19.108700752258301</c:v>
                </c:pt>
                <c:pt idx="6">
                  <c:v>22.930440902709901</c:v>
                </c:pt>
              </c:numCache>
            </c:numRef>
          </c:xVal>
          <c:yVal>
            <c:numRef>
              <c:f>'231107_WT_14_Cell 1_Kar9_13_19'!$L$11:$L$17</c:f>
              <c:numCache>
                <c:formatCode>General</c:formatCode>
                <c:ptCount val="7"/>
                <c:pt idx="1">
                  <c:v>0.1291189238741903</c:v>
                </c:pt>
                <c:pt idx="2">
                  <c:v>0.16116864634420072</c:v>
                </c:pt>
                <c:pt idx="3">
                  <c:v>0.2654638923881788</c:v>
                </c:pt>
                <c:pt idx="4">
                  <c:v>0.24965490800330753</c:v>
                </c:pt>
                <c:pt idx="5">
                  <c:v>0.46447975064804709</c:v>
                </c:pt>
                <c:pt idx="6">
                  <c:v>0.45063391480594583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7-4EC5-A39A-93C891C14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969528"/>
        <c:axId val="617970512"/>
      </c:scatterChart>
      <c:valAx>
        <c:axId val="61796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70512"/>
        <c:crosses val="autoZero"/>
        <c:crossBetween val="midCat"/>
      </c:valAx>
      <c:valAx>
        <c:axId val="6179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69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323851</xdr:colOff>
      <xdr:row>10</xdr:row>
      <xdr:rowOff>33336</xdr:rowOff>
    </xdr:from>
    <xdr:to>
      <xdr:col>19</xdr:col>
      <xdr:colOff>47625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25A9C-9E8A-4555-A273-BBB92D9E1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361950</xdr:colOff>
      <xdr:row>26</xdr:row>
      <xdr:rowOff>52386</xdr:rowOff>
    </xdr:from>
    <xdr:to>
      <xdr:col>18</xdr:col>
      <xdr:colOff>380999</xdr:colOff>
      <xdr:row>32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13EE2-E620-4C83-B42C-7A8702506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18</xdr:row>
      <xdr:rowOff>100012</xdr:rowOff>
    </xdr:from>
    <xdr:to>
      <xdr:col>18</xdr:col>
      <xdr:colOff>342900</xdr:colOff>
      <xdr:row>25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83B715-7C58-467B-A556-4DC3DE171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200025</xdr:colOff>
      <xdr:row>10</xdr:row>
      <xdr:rowOff>4762</xdr:rowOff>
    </xdr:from>
    <xdr:to>
      <xdr:col>22</xdr:col>
      <xdr:colOff>485775</xdr:colOff>
      <xdr:row>17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5796BE-8B8D-4FF4-91C9-F5B01E50D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209550</xdr:colOff>
      <xdr:row>18</xdr:row>
      <xdr:rowOff>42863</xdr:rowOff>
    </xdr:from>
    <xdr:to>
      <xdr:col>21</xdr:col>
      <xdr:colOff>476250</xdr:colOff>
      <xdr:row>25</xdr:row>
      <xdr:rowOff>95251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C80B17-7E8A-473B-9211-0C7D551BB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342900</xdr:colOff>
      <xdr:row>2</xdr:row>
      <xdr:rowOff>176212</xdr:rowOff>
    </xdr:from>
    <xdr:to>
      <xdr:col>19</xdr:col>
      <xdr:colOff>333375</xdr:colOff>
      <xdr:row>10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CF68F6-783D-4973-AE4B-D40D3566A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O19" sqref="O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0</v>
      </c>
      <c r="B5">
        <v>5.4010811955912201</v>
      </c>
      <c r="C5">
        <v>5.80626722345127</v>
      </c>
      <c r="D5">
        <v>0.82120163965703996</v>
      </c>
      <c r="E5">
        <v>3.8217401504516602</v>
      </c>
      <c r="F5">
        <v>1</v>
      </c>
      <c r="G5">
        <v>18</v>
      </c>
      <c r="H5">
        <v>48</v>
      </c>
      <c r="I5">
        <v>2663</v>
      </c>
      <c r="K5">
        <f>SQRT((B5-B40)^2+(C5-C40)^2+(D5-D40)^2)</f>
        <v>0.88531194549057224</v>
      </c>
    </row>
    <row r="6" spans="1:12" x14ac:dyDescent="0.25">
      <c r="A6">
        <v>0</v>
      </c>
      <c r="B6">
        <v>5.1149935352842704</v>
      </c>
      <c r="C6">
        <v>5.9591722817997699</v>
      </c>
      <c r="D6">
        <v>1.0331889147906499</v>
      </c>
      <c r="E6">
        <v>7.6434803009033203</v>
      </c>
      <c r="F6">
        <v>2</v>
      </c>
      <c r="G6">
        <v>28</v>
      </c>
      <c r="H6">
        <v>83</v>
      </c>
      <c r="I6">
        <v>4780</v>
      </c>
      <c r="K6">
        <f t="shared" ref="K6:K10" si="0">SQRT((B6-B41)^2+(C6-C41)^2+(D6-D41)^2)</f>
        <v>0.84184092038518743</v>
      </c>
    </row>
    <row r="7" spans="1:12" x14ac:dyDescent="0.25">
      <c r="A7">
        <v>0</v>
      </c>
      <c r="B7">
        <v>5.2292590732462498</v>
      </c>
      <c r="C7">
        <v>6.05486677554204</v>
      </c>
      <c r="D7">
        <v>1.8829024421674201</v>
      </c>
      <c r="E7">
        <v>11.465220451354901</v>
      </c>
      <c r="F7">
        <v>3</v>
      </c>
      <c r="G7">
        <v>39</v>
      </c>
      <c r="H7">
        <v>120</v>
      </c>
      <c r="I7">
        <v>6321</v>
      </c>
      <c r="K7">
        <f t="shared" si="0"/>
        <v>1.1861422642461155</v>
      </c>
    </row>
    <row r="8" spans="1:12" x14ac:dyDescent="0.25">
      <c r="A8">
        <v>0</v>
      </c>
      <c r="B8">
        <v>5.4788574269607002</v>
      </c>
      <c r="C8">
        <v>6.0686176064070603</v>
      </c>
      <c r="D8">
        <v>1.8817260835420699</v>
      </c>
      <c r="E8">
        <v>15.2869606018066</v>
      </c>
      <c r="F8">
        <v>4</v>
      </c>
      <c r="G8">
        <v>37</v>
      </c>
      <c r="H8">
        <v>97</v>
      </c>
      <c r="I8">
        <v>5142</v>
      </c>
      <c r="K8">
        <f t="shared" si="0"/>
        <v>1.0541084777295027</v>
      </c>
    </row>
    <row r="9" spans="1:12" x14ac:dyDescent="0.25">
      <c r="A9">
        <v>0</v>
      </c>
      <c r="B9">
        <v>5.39695230893334</v>
      </c>
      <c r="C9">
        <v>6.4529559986264102</v>
      </c>
      <c r="D9">
        <v>1.63891039057108</v>
      </c>
      <c r="E9">
        <v>19.108700752258301</v>
      </c>
      <c r="F9">
        <v>5</v>
      </c>
      <c r="G9">
        <v>49</v>
      </c>
      <c r="H9">
        <v>157</v>
      </c>
      <c r="I9">
        <v>8373</v>
      </c>
      <c r="K9">
        <f t="shared" si="0"/>
        <v>1.1952364831044755</v>
      </c>
    </row>
    <row r="10" spans="1:12" x14ac:dyDescent="0.25">
      <c r="A10">
        <v>0</v>
      </c>
      <c r="B10">
        <v>5.5195948556413699</v>
      </c>
      <c r="C10">
        <v>6.3799197552285101</v>
      </c>
      <c r="D10">
        <v>0.854088021145465</v>
      </c>
      <c r="E10">
        <v>22.930440902709901</v>
      </c>
      <c r="F10">
        <v>6</v>
      </c>
      <c r="G10">
        <v>69</v>
      </c>
      <c r="H10">
        <v>176</v>
      </c>
      <c r="I10">
        <v>9842</v>
      </c>
      <c r="K10">
        <f t="shared" si="0"/>
        <v>1.0520593219776098</v>
      </c>
    </row>
    <row r="11" spans="1:12" x14ac:dyDescent="0.25">
      <c r="A11">
        <v>3</v>
      </c>
      <c r="B11">
        <v>6.8597980151287699</v>
      </c>
      <c r="C11">
        <v>6.5009557430240896</v>
      </c>
      <c r="D11">
        <v>0.79532866377379896</v>
      </c>
      <c r="E11">
        <v>0</v>
      </c>
      <c r="F11">
        <v>0</v>
      </c>
      <c r="G11">
        <v>46</v>
      </c>
      <c r="H11">
        <v>100</v>
      </c>
      <c r="I11">
        <v>5942</v>
      </c>
      <c r="K11">
        <f>SQRT((B11-B40)^2+(C11-C40)^2+(D11-D40)^2)</f>
        <v>2.1298539058496719</v>
      </c>
    </row>
    <row r="12" spans="1:12" x14ac:dyDescent="0.25">
      <c r="A12">
        <v>3</v>
      </c>
      <c r="B12">
        <v>6.9723603261525202</v>
      </c>
      <c r="C12">
        <v>6.5473841608168701</v>
      </c>
      <c r="D12">
        <v>0.83829172535791396</v>
      </c>
      <c r="E12">
        <v>3.8217401504516602</v>
      </c>
      <c r="F12">
        <v>1</v>
      </c>
      <c r="G12">
        <v>28</v>
      </c>
      <c r="H12">
        <v>73</v>
      </c>
      <c r="I12">
        <v>4098</v>
      </c>
      <c r="K12">
        <f t="shared" ref="K12:K18" si="1">SQRT((B12-B41)^2+(C12-C41)^2+(D12-D41)^2)</f>
        <v>2.2330178138515562</v>
      </c>
      <c r="L12">
        <f>SQRT((B11-B12)^2+(C11-C12)^2+(D11-D12)^2)</f>
        <v>0.1291189238741903</v>
      </c>
    </row>
    <row r="13" spans="1:12" x14ac:dyDescent="0.25">
      <c r="A13">
        <v>8</v>
      </c>
      <c r="B13">
        <v>7.1236110465191</v>
      </c>
      <c r="C13">
        <v>6.5702615532512096</v>
      </c>
      <c r="D13">
        <v>0.88903792786034697</v>
      </c>
      <c r="E13">
        <v>7.6434803009033203</v>
      </c>
      <c r="F13">
        <v>2</v>
      </c>
      <c r="G13">
        <v>28</v>
      </c>
      <c r="H13">
        <v>69</v>
      </c>
      <c r="I13">
        <v>4032</v>
      </c>
      <c r="K13">
        <f>SQRT((B13-B40)^2+(C13-C40)^2+(D13-D40)^2)</f>
        <v>2.3513884044094491</v>
      </c>
      <c r="L13">
        <f>SQRT((B12-B13)^2+(C12-C13)^2+(D12-D13)^2)</f>
        <v>0.16116864634420072</v>
      </c>
    </row>
    <row r="14" spans="1:12" x14ac:dyDescent="0.25">
      <c r="A14">
        <v>8</v>
      </c>
      <c r="B14">
        <v>6.9087073728711097</v>
      </c>
      <c r="C14">
        <v>6.5490403347972901</v>
      </c>
      <c r="D14">
        <v>0.73464508767074599</v>
      </c>
      <c r="E14">
        <v>11.465220451354901</v>
      </c>
      <c r="F14">
        <v>3</v>
      </c>
      <c r="G14">
        <v>11</v>
      </c>
      <c r="H14">
        <v>31</v>
      </c>
      <c r="I14">
        <v>1887</v>
      </c>
      <c r="K14">
        <f>SQRT((B14-B41)^2+(C14-C41)^2+(D14-D41)^2)</f>
        <v>2.2005755685285089</v>
      </c>
      <c r="L14">
        <f t="shared" ref="L14:L16" si="2">SQRT((B13-B14)^2+(C13-C14)^2+(D13-D14)^2)</f>
        <v>0.2654638923881788</v>
      </c>
    </row>
    <row r="15" spans="1:12" x14ac:dyDescent="0.25">
      <c r="A15">
        <v>8</v>
      </c>
      <c r="B15">
        <v>7.0334690203437198</v>
      </c>
      <c r="C15">
        <v>6.6644471508573098</v>
      </c>
      <c r="D15">
        <v>0.91752037637031003</v>
      </c>
      <c r="E15">
        <v>15.2869606018066</v>
      </c>
      <c r="F15">
        <v>4</v>
      </c>
      <c r="G15">
        <v>10</v>
      </c>
      <c r="H15">
        <v>31</v>
      </c>
      <c r="I15">
        <v>1594</v>
      </c>
      <c r="K15">
        <f>SQRT((B15-B42)^2+(C15-C42)^2+(D15-D42)^2)</f>
        <v>2.1646056253069244</v>
      </c>
      <c r="L15">
        <f t="shared" si="2"/>
        <v>0.24965490800330753</v>
      </c>
    </row>
    <row r="16" spans="1:12" x14ac:dyDescent="0.25">
      <c r="A16">
        <v>3</v>
      </c>
      <c r="B16">
        <v>6.7241689778716598</v>
      </c>
      <c r="C16">
        <v>6.3362343273753297</v>
      </c>
      <c r="D16">
        <v>0.80638413119871699</v>
      </c>
      <c r="E16">
        <v>19.108700752258301</v>
      </c>
      <c r="F16">
        <v>5</v>
      </c>
      <c r="G16">
        <v>27</v>
      </c>
      <c r="H16">
        <v>77</v>
      </c>
      <c r="I16">
        <v>4439</v>
      </c>
      <c r="K16">
        <f t="shared" si="1"/>
        <v>1.7280310197509132</v>
      </c>
      <c r="L16">
        <f t="shared" si="2"/>
        <v>0.46447975064804709</v>
      </c>
    </row>
    <row r="17" spans="1:12" x14ac:dyDescent="0.25">
      <c r="A17">
        <v>3</v>
      </c>
      <c r="B17">
        <v>6.7418407158935603</v>
      </c>
      <c r="C17">
        <v>5.8898519532429399</v>
      </c>
      <c r="D17">
        <v>0.86555685221566003</v>
      </c>
      <c r="E17">
        <v>22.930440902709901</v>
      </c>
      <c r="F17">
        <v>6</v>
      </c>
      <c r="G17">
        <v>52</v>
      </c>
      <c r="H17">
        <v>114</v>
      </c>
      <c r="I17">
        <v>6596</v>
      </c>
      <c r="K17">
        <f t="shared" si="1"/>
        <v>1.6906791025581469</v>
      </c>
      <c r="L17">
        <f t="shared" ref="L13:L17" si="3">SQRT((B16-B17)^2+(C16-C17)^2+(D16-D17)^2)</f>
        <v>0.45063391480594583</v>
      </c>
    </row>
    <row r="18" spans="1:12" x14ac:dyDescent="0.25">
      <c r="A18">
        <v>4</v>
      </c>
      <c r="B18">
        <v>6.0068612519957396</v>
      </c>
      <c r="C18">
        <v>4.9612676239545896</v>
      </c>
      <c r="D18">
        <v>0.73850669167581695</v>
      </c>
      <c r="E18">
        <v>0</v>
      </c>
      <c r="F18">
        <v>0</v>
      </c>
      <c r="G18">
        <v>14</v>
      </c>
      <c r="H18">
        <v>37</v>
      </c>
      <c r="I18">
        <v>2141</v>
      </c>
      <c r="K18">
        <f>SQRT((B18-B40)^2+(C18-C40)^2+(D18-D40)^2)</f>
        <v>0.73079628638653027</v>
      </c>
    </row>
    <row r="19" spans="1:12" x14ac:dyDescent="0.25">
      <c r="A19">
        <v>4</v>
      </c>
      <c r="B19">
        <v>5.3861414468149702</v>
      </c>
      <c r="C19">
        <v>5.4281329400681901</v>
      </c>
      <c r="D19">
        <v>0.85375603163548897</v>
      </c>
      <c r="E19">
        <v>3.8217401504516602</v>
      </c>
      <c r="F19">
        <v>1</v>
      </c>
      <c r="G19">
        <v>17</v>
      </c>
      <c r="H19">
        <v>47</v>
      </c>
      <c r="I19">
        <v>2786</v>
      </c>
      <c r="K19">
        <f t="shared" ref="K19:K25" si="4">SQRT((B19-B41)^2+(C19-C41)^2+(D19-D41)^2)</f>
        <v>0.4028397050005601</v>
      </c>
    </row>
    <row r="20" spans="1:12" x14ac:dyDescent="0.25">
      <c r="A20">
        <v>4</v>
      </c>
      <c r="B20">
        <v>5.32355968003528</v>
      </c>
      <c r="C20">
        <v>5.4998889836938396</v>
      </c>
      <c r="D20">
        <v>0.91256683361330904</v>
      </c>
      <c r="E20">
        <v>7.6434803009033203</v>
      </c>
      <c r="F20">
        <v>2</v>
      </c>
      <c r="G20">
        <v>15</v>
      </c>
      <c r="H20">
        <v>40</v>
      </c>
      <c r="I20">
        <v>2188</v>
      </c>
      <c r="K20">
        <f t="shared" si="4"/>
        <v>0.27324009588678777</v>
      </c>
    </row>
    <row r="21" spans="1:12" x14ac:dyDescent="0.25">
      <c r="A21">
        <v>4</v>
      </c>
      <c r="B21">
        <v>5.3498995883873004</v>
      </c>
      <c r="C21">
        <v>5.4282222299862202</v>
      </c>
      <c r="D21">
        <v>1.0395730103107901</v>
      </c>
      <c r="E21">
        <v>11.465220451354901</v>
      </c>
      <c r="F21">
        <v>3</v>
      </c>
      <c r="G21">
        <v>3</v>
      </c>
      <c r="H21">
        <v>11</v>
      </c>
      <c r="I21">
        <v>548</v>
      </c>
      <c r="K21">
        <f t="shared" si="4"/>
        <v>9.626671010872756E-2</v>
      </c>
    </row>
    <row r="22" spans="1:12" x14ac:dyDescent="0.25">
      <c r="A22">
        <v>4</v>
      </c>
      <c r="B22">
        <v>5.4929002315419799</v>
      </c>
      <c r="C22">
        <v>5.7785272106511298</v>
      </c>
      <c r="D22">
        <v>1.5551150459983101</v>
      </c>
      <c r="E22">
        <v>15.2869606018066</v>
      </c>
      <c r="F22">
        <v>4</v>
      </c>
      <c r="G22">
        <v>8</v>
      </c>
      <c r="H22">
        <v>23</v>
      </c>
      <c r="I22">
        <v>1293</v>
      </c>
      <c r="K22">
        <f t="shared" si="4"/>
        <v>0.61938918149486621</v>
      </c>
    </row>
    <row r="23" spans="1:12" x14ac:dyDescent="0.25">
      <c r="A23">
        <v>4</v>
      </c>
      <c r="B23">
        <v>5.3693633087904296</v>
      </c>
      <c r="C23">
        <v>5.5189997773686299</v>
      </c>
      <c r="D23">
        <v>1.2348220187910499</v>
      </c>
      <c r="E23">
        <v>19.108700752258301</v>
      </c>
      <c r="F23">
        <v>5</v>
      </c>
      <c r="G23">
        <v>5</v>
      </c>
      <c r="H23">
        <v>21</v>
      </c>
      <c r="I23">
        <v>1106</v>
      </c>
      <c r="K23">
        <f t="shared" si="4"/>
        <v>0.10395858012816191</v>
      </c>
    </row>
    <row r="24" spans="1:12" x14ac:dyDescent="0.25">
      <c r="A24">
        <v>4</v>
      </c>
      <c r="B24">
        <v>5.26610903117282</v>
      </c>
      <c r="C24">
        <v>5.4810990684150998</v>
      </c>
      <c r="D24">
        <v>1.0010247933004801</v>
      </c>
      <c r="E24">
        <v>22.930440902709901</v>
      </c>
      <c r="F24">
        <v>6</v>
      </c>
      <c r="G24">
        <v>7</v>
      </c>
      <c r="H24">
        <v>19</v>
      </c>
      <c r="I24">
        <v>1028</v>
      </c>
      <c r="K24">
        <f t="shared" si="4"/>
        <v>0.33781616292178007</v>
      </c>
    </row>
    <row r="25" spans="1:12" x14ac:dyDescent="0.25">
      <c r="A25">
        <v>6</v>
      </c>
      <c r="B25">
        <v>6.2420615612618402</v>
      </c>
      <c r="C25">
        <v>5.8500270643219103</v>
      </c>
      <c r="D25">
        <v>0.95617706843805605</v>
      </c>
      <c r="E25">
        <v>0</v>
      </c>
      <c r="F25">
        <v>0</v>
      </c>
      <c r="G25">
        <v>28</v>
      </c>
      <c r="H25">
        <v>64</v>
      </c>
      <c r="I25">
        <v>3783</v>
      </c>
      <c r="K25">
        <f>SQRT((B25-B40)^2+(C25-C40)^2+(D25-D40)^2)</f>
        <v>1.2182378449467277</v>
      </c>
    </row>
    <row r="26" spans="1:12" x14ac:dyDescent="0.25">
      <c r="A26">
        <v>6</v>
      </c>
      <c r="B26">
        <v>6.2053367707340401</v>
      </c>
      <c r="C26">
        <v>5.8959291330374404</v>
      </c>
      <c r="D26">
        <v>0.87231457317262096</v>
      </c>
      <c r="E26">
        <v>3.8217401504516602</v>
      </c>
      <c r="F26">
        <v>1</v>
      </c>
      <c r="G26">
        <v>12</v>
      </c>
      <c r="H26">
        <v>31</v>
      </c>
      <c r="I26">
        <v>1874</v>
      </c>
      <c r="K26">
        <f t="shared" ref="K26:K37" si="5">SQRT((B26-B41)^2+(C26-C41)^2+(D26-D41)^2)</f>
        <v>1.2326197299071049</v>
      </c>
    </row>
    <row r="27" spans="1:12" x14ac:dyDescent="0.25">
      <c r="A27">
        <v>6</v>
      </c>
      <c r="B27">
        <v>6.3823610094701104</v>
      </c>
      <c r="C27">
        <v>6.0232559916505197</v>
      </c>
      <c r="D27">
        <v>0.74053054829030496</v>
      </c>
      <c r="E27">
        <v>7.6434803009033203</v>
      </c>
      <c r="F27">
        <v>2</v>
      </c>
      <c r="G27">
        <v>8</v>
      </c>
      <c r="H27">
        <v>21</v>
      </c>
      <c r="I27">
        <v>1275</v>
      </c>
      <c r="K27">
        <f t="shared" si="5"/>
        <v>1.2828978265009474</v>
      </c>
    </row>
    <row r="28" spans="1:12" x14ac:dyDescent="0.25">
      <c r="A28">
        <v>6</v>
      </c>
      <c r="B28">
        <v>6.3632460507367403</v>
      </c>
      <c r="C28">
        <v>6.1715401030991197</v>
      </c>
      <c r="D28">
        <v>0.63396541660617101</v>
      </c>
      <c r="E28">
        <v>11.465220451354901</v>
      </c>
      <c r="F28">
        <v>3</v>
      </c>
      <c r="G28">
        <v>5</v>
      </c>
      <c r="H28">
        <v>13</v>
      </c>
      <c r="I28">
        <v>752</v>
      </c>
      <c r="K28">
        <f t="shared" si="5"/>
        <v>1.4105697292289703</v>
      </c>
    </row>
    <row r="29" spans="1:12" x14ac:dyDescent="0.25">
      <c r="A29">
        <v>6</v>
      </c>
      <c r="B29">
        <v>6.0832050554844201</v>
      </c>
      <c r="C29">
        <v>5.9479541985900504</v>
      </c>
      <c r="D29">
        <v>0.91251011016017802</v>
      </c>
      <c r="E29">
        <v>15.2869606018066</v>
      </c>
      <c r="F29">
        <v>4</v>
      </c>
      <c r="G29">
        <v>11</v>
      </c>
      <c r="H29">
        <v>28</v>
      </c>
      <c r="I29">
        <v>1548</v>
      </c>
      <c r="K29">
        <f t="shared" si="5"/>
        <v>0.85384779200471517</v>
      </c>
    </row>
    <row r="30" spans="1:12" x14ac:dyDescent="0.25">
      <c r="A30">
        <v>6</v>
      </c>
      <c r="B30">
        <v>6.1729886085448298</v>
      </c>
      <c r="C30">
        <v>5.9752772299657</v>
      </c>
      <c r="D30">
        <v>1.00941668609391</v>
      </c>
      <c r="E30">
        <v>19.108700752258301</v>
      </c>
      <c r="F30">
        <v>5</v>
      </c>
      <c r="G30">
        <v>5</v>
      </c>
      <c r="H30">
        <v>14</v>
      </c>
      <c r="I30">
        <v>815</v>
      </c>
      <c r="K30">
        <f t="shared" si="5"/>
        <v>1.0393303974417747</v>
      </c>
    </row>
    <row r="34" spans="1:11" x14ac:dyDescent="0.25">
      <c r="A34">
        <v>9</v>
      </c>
      <c r="B34">
        <v>6.5888600672245197</v>
      </c>
      <c r="C34">
        <v>6.2296615179267398</v>
      </c>
      <c r="D34">
        <v>0.79454613443311894</v>
      </c>
      <c r="E34">
        <v>3.8217401504516602</v>
      </c>
      <c r="F34">
        <v>1</v>
      </c>
      <c r="G34">
        <v>11</v>
      </c>
      <c r="H34">
        <v>27</v>
      </c>
      <c r="I34">
        <v>1590</v>
      </c>
      <c r="K34">
        <f>SQRT((B34-B40)^2+(C34-C40)^2+(D34-D40)^2)</f>
        <v>1.7533668696397608</v>
      </c>
    </row>
    <row r="35" spans="1:11" x14ac:dyDescent="0.25">
      <c r="A35">
        <v>9</v>
      </c>
      <c r="B35">
        <v>6.6531534126313696</v>
      </c>
      <c r="C35">
        <v>6.1953216427825497</v>
      </c>
      <c r="D35">
        <v>0.881990356553634</v>
      </c>
      <c r="E35">
        <v>7.6434803009033203</v>
      </c>
      <c r="F35">
        <v>2</v>
      </c>
      <c r="G35">
        <v>25</v>
      </c>
      <c r="H35">
        <v>59</v>
      </c>
      <c r="I35">
        <v>3414</v>
      </c>
      <c r="K35">
        <f t="shared" ref="K35:K37" si="6">SQRT((B35-B41)^2+(C35-C41)^2+(D35-D41)^2)</f>
        <v>1.7620882553288701</v>
      </c>
    </row>
    <row r="36" spans="1:11" x14ac:dyDescent="0.25">
      <c r="A36">
        <v>9</v>
      </c>
      <c r="B36">
        <v>6.6641271702833897</v>
      </c>
      <c r="C36">
        <v>6.3652399195401399</v>
      </c>
      <c r="D36">
        <v>0.83295502651850994</v>
      </c>
      <c r="E36">
        <v>11.465220451354901</v>
      </c>
      <c r="F36">
        <v>3</v>
      </c>
      <c r="G36">
        <v>14</v>
      </c>
      <c r="H36">
        <v>41</v>
      </c>
      <c r="I36">
        <v>2413</v>
      </c>
      <c r="K36">
        <f t="shared" si="6"/>
        <v>1.6973887084333885</v>
      </c>
    </row>
    <row r="37" spans="1:11" x14ac:dyDescent="0.25">
      <c r="A37">
        <v>9</v>
      </c>
      <c r="B37">
        <v>6.6958480412318</v>
      </c>
      <c r="C37">
        <v>6.4085706926164097</v>
      </c>
      <c r="D37">
        <v>0.89110122944625203</v>
      </c>
      <c r="E37">
        <v>15.2869606018066</v>
      </c>
      <c r="F37">
        <v>4</v>
      </c>
      <c r="G37">
        <v>9</v>
      </c>
      <c r="H37">
        <v>22</v>
      </c>
      <c r="I37">
        <v>1285</v>
      </c>
      <c r="K37">
        <f t="shared" si="6"/>
        <v>1.7542191671579968</v>
      </c>
    </row>
    <row r="40" spans="1:11" x14ac:dyDescent="0.25">
      <c r="B40">
        <v>5.4063865538855804</v>
      </c>
      <c r="C40">
        <v>4.9860248819694197</v>
      </c>
      <c r="D40">
        <v>1.15429561324714</v>
      </c>
      <c r="E40">
        <v>45.860881805419901</v>
      </c>
      <c r="F40">
        <v>12</v>
      </c>
    </row>
    <row r="41" spans="1:11" x14ac:dyDescent="0.25">
      <c r="B41">
        <v>5.2640177904212599</v>
      </c>
      <c r="C41">
        <v>5.13329164483594</v>
      </c>
      <c r="D41">
        <v>1.0995898191825599</v>
      </c>
      <c r="E41">
        <v>49.682621955871497</v>
      </c>
      <c r="F41">
        <v>13</v>
      </c>
    </row>
    <row r="42" spans="1:11" x14ac:dyDescent="0.25">
      <c r="B42">
        <v>5.3913855849943797</v>
      </c>
      <c r="C42">
        <v>5.2577973337978197</v>
      </c>
      <c r="D42">
        <v>1.01957818659664</v>
      </c>
      <c r="E42">
        <v>53.5043621063232</v>
      </c>
      <c r="F42">
        <v>14</v>
      </c>
    </row>
    <row r="43" spans="1:11" x14ac:dyDescent="0.25">
      <c r="B43">
        <v>5.27313373830955</v>
      </c>
      <c r="C43">
        <v>5.4020760665296903</v>
      </c>
      <c r="D43">
        <v>1.0914446005457401</v>
      </c>
      <c r="E43">
        <v>57.326102256774902</v>
      </c>
      <c r="F43">
        <v>15</v>
      </c>
    </row>
    <row r="44" spans="1:11" x14ac:dyDescent="0.25">
      <c r="B44">
        <v>5.4400390212529999</v>
      </c>
      <c r="C44">
        <v>5.40676328885327</v>
      </c>
      <c r="D44">
        <v>1.0625297873383099</v>
      </c>
      <c r="E44">
        <v>61.147842407226499</v>
      </c>
      <c r="F44">
        <v>16</v>
      </c>
    </row>
    <row r="45" spans="1:11" x14ac:dyDescent="0.25">
      <c r="B45">
        <v>5.3249595375470102</v>
      </c>
      <c r="C45">
        <v>5.4275180931940001</v>
      </c>
      <c r="D45">
        <v>1.2564274102987001</v>
      </c>
      <c r="E45">
        <v>64.969582557678194</v>
      </c>
      <c r="F45">
        <v>17</v>
      </c>
    </row>
    <row r="46" spans="1:11" x14ac:dyDescent="0.25">
      <c r="B46">
        <v>5.2122035197807</v>
      </c>
      <c r="C46">
        <v>5.3030393123731097</v>
      </c>
      <c r="D46">
        <v>1.2829976271888099</v>
      </c>
      <c r="E46">
        <v>68.791322708129798</v>
      </c>
      <c r="F46">
        <v>18</v>
      </c>
    </row>
    <row r="51" spans="2:13" x14ac:dyDescent="0.25">
      <c r="B51">
        <v>3</v>
      </c>
      <c r="C51">
        <v>7.6510482020166704</v>
      </c>
      <c r="D51">
        <v>6.6348483394887499</v>
      </c>
      <c r="E51">
        <v>1.94868059048217</v>
      </c>
      <c r="F51">
        <v>7.6434803009033203</v>
      </c>
      <c r="G51">
        <v>2</v>
      </c>
      <c r="H51">
        <v>9</v>
      </c>
      <c r="I51">
        <v>19</v>
      </c>
      <c r="J51">
        <v>1152</v>
      </c>
      <c r="L51">
        <f>SQRT((C51-B42)^2+(D51-C42)^2+(E51-D42)^2)</f>
        <v>2.8045634048721917</v>
      </c>
      <c r="M51">
        <f>SQRT((B12-C51)^2+(C12-D51)^2+(D12-E51)^2)</f>
        <v>1.3043123273156902</v>
      </c>
    </row>
    <row r="52" spans="2:13" x14ac:dyDescent="0.25">
      <c r="B52">
        <v>3</v>
      </c>
      <c r="C52">
        <v>7.6586222690594301</v>
      </c>
      <c r="D52">
        <v>6.7926444260288896</v>
      </c>
      <c r="E52">
        <v>1.9573715179061699</v>
      </c>
      <c r="F52">
        <v>11.465220451354901</v>
      </c>
      <c r="G52">
        <v>3</v>
      </c>
      <c r="H52">
        <v>5</v>
      </c>
      <c r="I52">
        <v>11</v>
      </c>
      <c r="J52">
        <v>606</v>
      </c>
      <c r="L52">
        <f>SQRT((C52-B43)^2+(D52-C43)^2+(E52-D43)^2)</f>
        <v>2.8937977329089284</v>
      </c>
      <c r="M52">
        <f>SQRT((C51-C52)^2+(D51-D52)^2+(E51-E52)^2)</f>
        <v>0.15821663515079801</v>
      </c>
    </row>
    <row r="53" spans="2:13" x14ac:dyDescent="0.25">
      <c r="B53">
        <v>3</v>
      </c>
      <c r="C53">
        <v>7.5344705982918097</v>
      </c>
      <c r="D53">
        <v>6.8234346050970203</v>
      </c>
      <c r="E53">
        <v>1.72133433796982</v>
      </c>
      <c r="F53">
        <v>15.2869606018066</v>
      </c>
      <c r="G53">
        <v>4</v>
      </c>
      <c r="H53">
        <v>6</v>
      </c>
      <c r="I53">
        <v>16</v>
      </c>
      <c r="J53">
        <v>920</v>
      </c>
      <c r="L53">
        <f>SQRT((C53-B44)^2+(D53-C44)^2+(E53-D44)^2)</f>
        <v>2.6129723850622422</v>
      </c>
      <c r="M53">
        <f>SQRT((C52-C53)^2+(D52-D53)^2+(E52-E53)^2)</f>
        <v>0.26846829010842971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231107_WT_14_Cell 1_Kar9_13_19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2024-05-25T20:15:06Z</dcterms:created>
  <dcterms:modified xsi:type="dcterms:W3CDTF">2024-05-25T20:32:50Z</dcterms:modified>
</cp:coreProperties>
</file>