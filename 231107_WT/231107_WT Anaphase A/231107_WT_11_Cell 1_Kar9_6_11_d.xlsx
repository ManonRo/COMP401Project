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040765B5-A0F5-4F34-8847-F3BE7E527D02}" xr6:coauthVersionLast="45" xr6:coauthVersionMax="45" xr10:uidLastSave="{00000000-0000-0000-0000-000000000000}"/>
  <bookViews>
    <workbookView xWindow="375" yWindow="135" windowWidth="27285" windowHeight="14550" xr2:uid="{00000000-000D-0000-FFFF-FFFF00000000}"/>
  </bookViews>
  <sheets>
    <sheet name="231107_WT_11_Cell 1_Kar9_6_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6" i="1" l="1"/>
  <c r="AC7" i="1"/>
  <c r="AC8" i="1"/>
  <c r="AC5" i="1"/>
  <c r="R9" i="1" l="1"/>
  <c r="AB9" i="1"/>
  <c r="Q9" i="1"/>
  <c r="Z5" i="1" l="1"/>
  <c r="Z6" i="1"/>
  <c r="Z7" i="1"/>
  <c r="Z8" i="1"/>
  <c r="Y6" i="1"/>
  <c r="Y7" i="1"/>
  <c r="Y8" i="1"/>
  <c r="Y5" i="1"/>
  <c r="X6" i="1"/>
  <c r="AA6" i="1" s="1"/>
  <c r="X7" i="1"/>
  <c r="AA7" i="1" s="1"/>
  <c r="X8" i="1"/>
  <c r="X5" i="1"/>
  <c r="AA5" i="1" s="1"/>
  <c r="AA8" i="1" l="1"/>
  <c r="W6" i="1"/>
  <c r="W7" i="1"/>
  <c r="W8" i="1"/>
  <c r="W5" i="1"/>
  <c r="V5" i="1" l="1"/>
  <c r="S5" i="1" l="1"/>
  <c r="R6" i="1" l="1"/>
  <c r="R7" i="1"/>
  <c r="R8" i="1"/>
  <c r="Q5" i="1"/>
  <c r="Q6" i="1"/>
  <c r="Q7" i="1"/>
  <c r="Q8" i="1"/>
  <c r="AB8" i="1" l="1"/>
  <c r="AB7" i="1"/>
  <c r="AB6" i="1"/>
  <c r="U5" i="1"/>
</calcChain>
</file>

<file path=xl/sharedStrings.xml><?xml version="1.0" encoding="utf-8"?>
<sst xmlns="http://schemas.openxmlformats.org/spreadsheetml/2006/main" count="34" uniqueCount="26">
  <si>
    <t>POSITION_X</t>
  </si>
  <si>
    <t>POSITION_Y</t>
  </si>
  <si>
    <t>POSITION_Z</t>
  </si>
  <si>
    <t>POSITION_T</t>
  </si>
  <si>
    <t>FRAME</t>
  </si>
  <si>
    <t>MAX_INTENSITY_CH2</t>
  </si>
  <si>
    <t>TOTAL_INTENSITY_CH2</t>
  </si>
  <si>
    <t>X</t>
  </si>
  <si>
    <t>Y</t>
  </si>
  <si>
    <t>Z</t>
  </si>
  <si>
    <t>T</t>
  </si>
  <si>
    <t>Frame</t>
  </si>
  <si>
    <t>Max intensity ch2</t>
  </si>
  <si>
    <t>Sum intensity ch2</t>
  </si>
  <si>
    <t>Max ch2</t>
  </si>
  <si>
    <t>Sum ch2</t>
  </si>
  <si>
    <t>(micron)</t>
  </si>
  <si>
    <t>(sec)</t>
  </si>
  <si>
    <t>(counts)</t>
  </si>
  <si>
    <t>mt length change overall</t>
  </si>
  <si>
    <t>SPB movement overall</t>
  </si>
  <si>
    <t xml:space="preserve"> </t>
  </si>
  <si>
    <t>Spindle midpoint</t>
  </si>
  <si>
    <t>Spindle midpoint distance to anchored Kar9</t>
  </si>
  <si>
    <t>Instantaneous mt depolym speed</t>
  </si>
  <si>
    <t>normalized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</si>
</sst>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638429811658158"/>
                  <c:y val="0.226955387590128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'231107_WT_11_Cell 1_Kar9_6_11'!$D$5:$D$8</c:f>
              <c:numCache>
                <c:formatCode>General</c:formatCode>
                <c:ptCount val="4"/>
                <c:pt idx="0">
                  <c:v>3.8217413425445499</c:v>
                </c:pt>
                <c:pt idx="1">
                  <c:v>7.6434826850891104</c:v>
                </c:pt>
                <c:pt idx="2">
                  <c:v>11.465224027633599</c:v>
                </c:pt>
                <c:pt idx="3">
                  <c:v>15.2869653701782</c:v>
                </c:pt>
              </c:numCache>
            </c:numRef>
          </c:xVal>
          <c:yVal>
            <c:numRef>
              <c:f>'231107_WT_11_Cell 1_Kar9_6_11'!$Q$5:$Q$8</c:f>
              <c:numCache>
                <c:formatCode>General</c:formatCode>
                <c:ptCount val="4"/>
                <c:pt idx="0">
                  <c:v>1.4168872206452341</c:v>
                </c:pt>
                <c:pt idx="1">
                  <c:v>1.3268966181838058</c:v>
                </c:pt>
                <c:pt idx="2">
                  <c:v>1.1731619560040769</c:v>
                </c:pt>
                <c:pt idx="3">
                  <c:v>1.0816727128580639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E-44D9-B3BD-3EF954324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503976"/>
        <c:axId val="378504304"/>
      </c:scatterChart>
      <c:valAx>
        <c:axId val="378503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04304"/>
        <c:crosses val="autoZero"/>
        <c:crossBetween val="midCat"/>
      </c:valAx>
      <c:valAx>
        <c:axId val="37850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03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'231107_WT_11_Cell 1_Kar9_6_11'!$D$5:$D$8</c:f>
              <c:numCache>
                <c:formatCode>General</c:formatCode>
                <c:ptCount val="4"/>
                <c:pt idx="0">
                  <c:v>3.8217413425445499</c:v>
                </c:pt>
                <c:pt idx="1">
                  <c:v>7.6434826850891104</c:v>
                </c:pt>
                <c:pt idx="2">
                  <c:v>11.465224027633599</c:v>
                </c:pt>
                <c:pt idx="3">
                  <c:v>15.2869653701782</c:v>
                </c:pt>
              </c:numCache>
            </c:numRef>
          </c:xVal>
          <c:yVal>
            <c:numRef>
              <c:f>'231107_WT_11_Cell 1_Kar9_6_11'!$W$5:$W$8</c:f>
              <c:numCache>
                <c:formatCode>General</c:formatCode>
                <c:ptCount val="4"/>
                <c:pt idx="0">
                  <c:v>6.1727408620144812</c:v>
                </c:pt>
                <c:pt idx="1">
                  <c:v>6.3607909720071696</c:v>
                </c:pt>
                <c:pt idx="2">
                  <c:v>6.3945278326654691</c:v>
                </c:pt>
                <c:pt idx="3">
                  <c:v>6.3773939445182775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0A-499A-9234-143088A33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698544"/>
        <c:axId val="580698872"/>
      </c:scatterChart>
      <c:valAx>
        <c:axId val="58069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698872"/>
        <c:crosses val="autoZero"/>
        <c:crossBetween val="midCat"/>
      </c:valAx>
      <c:valAx>
        <c:axId val="58069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69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'231107_WT_11_Cell 1_Kar9_6_11'!$D$5:$D$8</c:f>
              <c:numCache>
                <c:formatCode>General</c:formatCode>
                <c:ptCount val="4"/>
                <c:pt idx="0">
                  <c:v>3.8217413425445499</c:v>
                </c:pt>
                <c:pt idx="1">
                  <c:v>7.6434826850891104</c:v>
                </c:pt>
                <c:pt idx="2">
                  <c:v>11.465224027633599</c:v>
                </c:pt>
                <c:pt idx="3">
                  <c:v>15.2869653701782</c:v>
                </c:pt>
              </c:numCache>
            </c:numRef>
          </c:xVal>
          <c:yVal>
            <c:numRef>
              <c:f>'231107_WT_11_Cell 1_Kar9_6_11'!$AA$5:$AA$8</c:f>
              <c:numCache>
                <c:formatCode>General</c:formatCode>
                <c:ptCount val="4"/>
                <c:pt idx="0">
                  <c:v>3.5888658916525635</c:v>
                </c:pt>
                <c:pt idx="1">
                  <c:v>3.7234410991334097</c:v>
                </c:pt>
                <c:pt idx="2">
                  <c:v>3.7227220657246014</c:v>
                </c:pt>
                <c:pt idx="3">
                  <c:v>3.6831047617129911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79-46B7-BA1D-E22675AB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715992"/>
        <c:axId val="580721152"/>
      </c:scatterChart>
      <c:valAx>
        <c:axId val="580715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721152"/>
        <c:crosses val="autoZero"/>
        <c:crossBetween val="midCat"/>
      </c:valAx>
      <c:valAx>
        <c:axId val="5807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715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571501</xdr:colOff>
      <xdr:row>13</xdr:row>
      <xdr:rowOff>42862</xdr:rowOff>
    </xdr:from>
    <xdr:to>
      <xdr:col>22</xdr:col>
      <xdr:colOff>581025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659EEC-8F6B-4771-A5EF-BBE82C77F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14</xdr:row>
      <xdr:rowOff>119062</xdr:rowOff>
    </xdr:from>
    <xdr:to>
      <xdr:col>9</xdr:col>
      <xdr:colOff>314325</xdr:colOff>
      <xdr:row>29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7F5C5B-B8DA-4299-B71E-1CB4BD8EB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209550</xdr:colOff>
      <xdr:row>15</xdr:row>
      <xdr:rowOff>157162</xdr:rowOff>
    </xdr:from>
    <xdr:to>
      <xdr:col>17</xdr:col>
      <xdr:colOff>514350</xdr:colOff>
      <xdr:row>30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33D514-C19D-4251-A559-44FCFAA3B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"/>
  <sheetViews>
    <sheetView tabSelected="1" topLeftCell="C1" workbookViewId="0">
      <selection activeCell="AC5" sqref="AC5:AC8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29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15</v>
      </c>
    </row>
    <row r="4" spans="1:29" x14ac:dyDescent="0.25">
      <c r="A4" t="s">
        <v>16</v>
      </c>
      <c r="B4" t="s">
        <v>16</v>
      </c>
      <c r="C4" t="s">
        <v>16</v>
      </c>
      <c r="D4" t="s">
        <v>17</v>
      </c>
      <c r="F4" t="s">
        <v>18</v>
      </c>
      <c r="G4" t="s">
        <v>18</v>
      </c>
      <c r="U4" t="s">
        <v>19</v>
      </c>
      <c r="V4" t="s">
        <v>20</v>
      </c>
      <c r="X4" t="s">
        <v>22</v>
      </c>
      <c r="AA4" t="s">
        <v>23</v>
      </c>
      <c r="AB4" t="s">
        <v>24</v>
      </c>
      <c r="AC4" t="s">
        <v>25</v>
      </c>
    </row>
    <row r="5" spans="1:29" x14ac:dyDescent="0.25">
      <c r="A5">
        <v>6.6205926840243299</v>
      </c>
      <c r="B5">
        <v>6.6130690794381302</v>
      </c>
      <c r="C5">
        <v>1.43158822636409</v>
      </c>
      <c r="D5">
        <v>3.8217413425445499</v>
      </c>
      <c r="E5">
        <v>1</v>
      </c>
      <c r="F5">
        <v>211</v>
      </c>
      <c r="G5">
        <v>11173</v>
      </c>
      <c r="H5">
        <v>6.6088627941727101</v>
      </c>
      <c r="I5">
        <v>5.3477495572167504</v>
      </c>
      <c r="J5">
        <v>2.06908200076295</v>
      </c>
      <c r="K5">
        <v>22.930448055267298</v>
      </c>
      <c r="L5">
        <v>6</v>
      </c>
      <c r="M5">
        <v>2.3914923540498298</v>
      </c>
      <c r="N5">
        <v>2.1170009519570199</v>
      </c>
      <c r="O5">
        <v>1.37856425403695</v>
      </c>
      <c r="Q5">
        <f>SQRT((A5-H5)^2+(B5-I5)^2+(C5-J5)^2)</f>
        <v>1.4168872206452341</v>
      </c>
      <c r="S5">
        <f>K8-K5</f>
        <v>11.465224027633703</v>
      </c>
      <c r="U5">
        <f>Q5-Q8</f>
        <v>0.33521450778717021</v>
      </c>
      <c r="V5">
        <f>SQRT((H5-H8)^2+(I5-I8)^2+(J5-J8)^2)</f>
        <v>0.72296441698199898</v>
      </c>
      <c r="W5">
        <f>SQRT((A5-M5)^2+(B5-N5)^2+(C5-O5)^2)</f>
        <v>6.1727408620144812</v>
      </c>
      <c r="X5">
        <f>AVERAGE(H5,M5)</f>
        <v>4.5001775741112695</v>
      </c>
      <c r="Y5">
        <f>AVERAGE(I5,N5)</f>
        <v>3.7323752545868851</v>
      </c>
      <c r="Z5">
        <f>AVERAGE(J5,O5)</f>
        <v>1.72382312739995</v>
      </c>
      <c r="AA5">
        <f>SQRT((A5-X5)^2+(B5-Y5)^2+(C5-Z5)^2)</f>
        <v>3.5888658916525635</v>
      </c>
      <c r="AC5">
        <f>D5-D$5</f>
        <v>0</v>
      </c>
    </row>
    <row r="6" spans="1:29" x14ac:dyDescent="0.25">
      <c r="A6">
        <v>6.4665948634251302</v>
      </c>
      <c r="B6">
        <v>6.7296202947252501</v>
      </c>
      <c r="C6">
        <v>1.45162661552468</v>
      </c>
      <c r="D6">
        <v>7.6434826850891104</v>
      </c>
      <c r="E6">
        <v>2</v>
      </c>
      <c r="F6">
        <v>298</v>
      </c>
      <c r="G6">
        <v>15815</v>
      </c>
      <c r="H6">
        <v>6.2539458993346502</v>
      </c>
      <c r="I6">
        <v>5.5131809141364796</v>
      </c>
      <c r="J6">
        <v>1.9371266533945799</v>
      </c>
      <c r="K6">
        <v>26.752189397811801</v>
      </c>
      <c r="L6">
        <v>7</v>
      </c>
      <c r="M6">
        <v>2.2836220675566201</v>
      </c>
      <c r="N6">
        <v>1.94177171266505</v>
      </c>
      <c r="O6">
        <v>1.25437972998267</v>
      </c>
      <c r="Q6">
        <f>SQRT((A6-H6)^2+(B6-I6)^2+(C6-J6)^2)</f>
        <v>1.3268966181838058</v>
      </c>
      <c r="R6">
        <f t="shared" ref="R6:R9" si="0">SQRT((A5-A6)^2+(B5-B6)^2+(C5-C6)^2)</f>
        <v>0.19416758631233771</v>
      </c>
      <c r="W6">
        <f t="shared" ref="W6:W8" si="1">SQRT((A6-M6)^2+(B6-N6)^2+(C6-O6)^2)</f>
        <v>6.3607909720071696</v>
      </c>
      <c r="X6">
        <f t="shared" ref="X6:X8" si="2">AVERAGE(H6,M6)</f>
        <v>4.2687839834456351</v>
      </c>
      <c r="Y6">
        <f t="shared" ref="Y6:Y8" si="3">AVERAGE(I6,N6)</f>
        <v>3.7274763134007647</v>
      </c>
      <c r="Z6">
        <f t="shared" ref="Z6:Z8" si="4">AVERAGE(J6,O6)</f>
        <v>1.595753191688625</v>
      </c>
      <c r="AA6">
        <f t="shared" ref="AA6:AA8" si="5">SQRT((A6-X6)^2+(B6-Y6)^2+(C6-Z6)^2)</f>
        <v>3.7234410991334097</v>
      </c>
      <c r="AB6">
        <f>(Q5-Q6)/(D6-D5)*60</f>
        <v>1.4128209273552486</v>
      </c>
      <c r="AC6">
        <f t="shared" ref="AC6:AC8" si="6">D6-D$5</f>
        <v>3.8217413425445605</v>
      </c>
    </row>
    <row r="7" spans="1:29" x14ac:dyDescent="0.25">
      <c r="A7">
        <v>6.44785266030466</v>
      </c>
      <c r="B7">
        <v>6.75576553477591</v>
      </c>
      <c r="C7">
        <v>1.4374420898657101</v>
      </c>
      <c r="D7">
        <v>11.465224027633599</v>
      </c>
      <c r="E7">
        <v>3</v>
      </c>
      <c r="F7">
        <v>330</v>
      </c>
      <c r="G7">
        <v>17088</v>
      </c>
      <c r="H7">
        <v>6.1585884634160202</v>
      </c>
      <c r="I7">
        <v>5.6401349382417401</v>
      </c>
      <c r="J7">
        <v>1.6565392634907801</v>
      </c>
      <c r="K7">
        <v>30.573930740356399</v>
      </c>
      <c r="L7">
        <v>8</v>
      </c>
      <c r="M7">
        <v>2.3136039313036298</v>
      </c>
      <c r="N7">
        <v>1.88247583018304</v>
      </c>
      <c r="O7">
        <v>1.21603498836296</v>
      </c>
      <c r="Q7">
        <f>SQRT((A7-H7)^2+(B7-I7)^2+(C7-J7)^2)</f>
        <v>1.1731619560040769</v>
      </c>
      <c r="R7">
        <f t="shared" si="0"/>
        <v>3.5157424867096984E-2</v>
      </c>
      <c r="W7">
        <f t="shared" si="1"/>
        <v>6.3945278326654691</v>
      </c>
      <c r="X7">
        <f t="shared" si="2"/>
        <v>4.2360961973598252</v>
      </c>
      <c r="Y7">
        <f t="shared" si="3"/>
        <v>3.76130538421239</v>
      </c>
      <c r="Z7">
        <f t="shared" si="4"/>
        <v>1.4362871259268699</v>
      </c>
      <c r="AA7">
        <f t="shared" si="5"/>
        <v>3.7227220657246014</v>
      </c>
      <c r="AB7">
        <f t="shared" ref="AB7:AB9" si="7">(Q6-Q7)/(D7-D6)*60</f>
        <v>2.4135803300184633</v>
      </c>
      <c r="AC7">
        <f t="shared" si="6"/>
        <v>7.6434826850890492</v>
      </c>
    </row>
    <row r="8" spans="1:29" x14ac:dyDescent="0.25">
      <c r="A8">
        <v>6.5092194769495002</v>
      </c>
      <c r="B8">
        <v>6.6935774521021703</v>
      </c>
      <c r="C8">
        <v>1.3976026394166099</v>
      </c>
      <c r="D8">
        <v>15.2869653701782</v>
      </c>
      <c r="E8">
        <v>4</v>
      </c>
      <c r="F8">
        <v>297</v>
      </c>
      <c r="G8">
        <v>16208</v>
      </c>
      <c r="H8">
        <v>6.1264600571775496</v>
      </c>
      <c r="I8">
        <v>5.7229224834047603</v>
      </c>
      <c r="J8">
        <v>1.68280435059765</v>
      </c>
      <c r="K8">
        <v>34.395672082901001</v>
      </c>
      <c r="L8">
        <v>9</v>
      </c>
      <c r="M8">
        <v>2.2627953642391798</v>
      </c>
      <c r="N8">
        <v>1.93689436406419</v>
      </c>
      <c r="O8">
        <v>1.28357729774104</v>
      </c>
      <c r="Q8">
        <f>SQRT((A8-H8)^2+(B8-I8)^2+(C8-J8)^2)</f>
        <v>1.0816727128580639</v>
      </c>
      <c r="R8">
        <f t="shared" si="0"/>
        <v>9.6023047357619518E-2</v>
      </c>
      <c r="W8">
        <f t="shared" si="1"/>
        <v>6.3773939445182775</v>
      </c>
      <c r="X8">
        <f t="shared" si="2"/>
        <v>4.1946277107083647</v>
      </c>
      <c r="Y8">
        <f t="shared" si="3"/>
        <v>3.8299084237344752</v>
      </c>
      <c r="Z8">
        <f t="shared" si="4"/>
        <v>1.483190824169345</v>
      </c>
      <c r="AA8">
        <f t="shared" si="5"/>
        <v>3.6831047617129911</v>
      </c>
      <c r="AB8">
        <f t="shared" si="7"/>
        <v>1.4363490610031311</v>
      </c>
      <c r="AC8">
        <f t="shared" si="6"/>
        <v>11.465224027633649</v>
      </c>
    </row>
    <row r="9" spans="1:29" s="1" customFormat="1" x14ac:dyDescent="0.25">
      <c r="A9" s="1">
        <v>6.3989657222610496</v>
      </c>
      <c r="B9" s="1">
        <v>6.2404262094089704</v>
      </c>
      <c r="C9" s="1">
        <v>1.5964127307332301</v>
      </c>
      <c r="D9" s="1">
        <v>19.1087067127227</v>
      </c>
      <c r="E9" s="1">
        <v>5</v>
      </c>
      <c r="F9" s="1">
        <v>157</v>
      </c>
      <c r="G9" s="1">
        <v>8889</v>
      </c>
      <c r="H9" s="1">
        <v>6.3992949922528002</v>
      </c>
      <c r="I9" s="1">
        <v>5.4209734237255702</v>
      </c>
      <c r="J9" s="1">
        <v>2.0119276378956799</v>
      </c>
      <c r="K9" s="1">
        <v>38.2174134254455</v>
      </c>
      <c r="L9" s="1">
        <v>10</v>
      </c>
      <c r="Q9">
        <f>SQRT((A9-H9)^2+(B9-I9)^2+(C9-J9)^2)</f>
        <v>0.91877941556024822</v>
      </c>
      <c r="R9">
        <f t="shared" si="0"/>
        <v>0.50697868947976032</v>
      </c>
      <c r="AB9">
        <f t="shared" si="7"/>
        <v>2.5573676923309825</v>
      </c>
    </row>
    <row r="14" spans="1:29" x14ac:dyDescent="0.25">
      <c r="V14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231107_WT_11_Cell 1_Kar9_6_11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2024-05-25T15:03:49Z</dcterms:created>
  <dcterms:modified xsi:type="dcterms:W3CDTF">2024-06-17T18:50:12Z</dcterms:modified>
</cp:coreProperties>
</file>