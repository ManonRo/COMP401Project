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30FA1A69-8220-4EC4-A994-208F9743EF47}" xr6:coauthVersionLast="45" xr6:coauthVersionMax="45" xr10:uidLastSave="{00000000-0000-0000-0000-000000000000}"/>
  <bookViews>
    <workbookView xWindow="690" yWindow="540" windowWidth="27285" windowHeight="14550" xr2:uid="{00000000-000D-0000-FFFF-FFFF00000000}"/>
  </bookViews>
  <sheets>
    <sheet name="231107_WT_12_Cell 3_Kar9_12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" i="1" l="1"/>
  <c r="W7" i="1"/>
  <c r="W5" i="1"/>
  <c r="V7" i="1" l="1"/>
  <c r="V6" i="1"/>
  <c r="U5" i="1" l="1"/>
  <c r="T5" i="1"/>
  <c r="S5" i="1" l="1"/>
  <c r="Q5" i="1" l="1"/>
  <c r="Q7" i="1" l="1"/>
  <c r="R6" i="1" l="1"/>
  <c r="R7" i="1"/>
  <c r="Q6" i="1"/>
</calcChain>
</file>

<file path=xl/sharedStrings.xml><?xml version="1.0" encoding="utf-8"?>
<sst xmlns="http://schemas.openxmlformats.org/spreadsheetml/2006/main" count="31" uniqueCount="23">
  <si>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</si>
  <si>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</si>
  <si>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</si>
  <si>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</si>
  <si>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</si>
  <si>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</si>
  <si>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</si>
  <si>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</si>
  <si>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</si>
  <si>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</si>
  <si>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</si>
  <si>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</si>
  <si>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</si>
  <si>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</si>
  <si>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</si>
  <si>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</si>
  <si>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</si>
  <si>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</si>
  <si>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</si>
  <si>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mt length change overall</t>
  </si>
  <si>
    <t>SPB movement change overall</t>
  </si>
  <si>
    <t>instantaneous mt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</si>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</sst>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9997095886919267E-2"/>
                  <c:y val="0.16825870646766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'231107_WT_12_Cell 3_Kar9_12_20'!$D$5:$D$7</c:f>
              <c:numCache>
                <c:formatCode>General</c:formatCode>
                <c:ptCount val="3"/>
                <c:pt idx="0">
                  <c:v>22.935456275939899</c:v>
                </c:pt>
                <c:pt idx="1">
                  <c:v>26.7580323219299</c:v>
                </c:pt>
                <c:pt idx="2">
                  <c:v>30.580608367919901</c:v>
                </c:pt>
              </c:numCache>
            </c:numRef>
          </c:xVal>
          <c:yVal>
            <c:numRef>
              <c:f>'231107_WT_12_Cell 3_Kar9_12_20'!$Q$5:$Q$7</c:f>
              <c:numCache>
                <c:formatCode>General</c:formatCode>
                <c:ptCount val="3"/>
                <c:pt idx="0">
                  <c:v>1.6788993569430897</c:v>
                </c:pt>
                <c:pt idx="1">
                  <c:v>1.5999080932722423</c:v>
                </c:pt>
                <c:pt idx="2">
                  <c:v>1.4080273406950861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A-4C87-A66E-B853F3CBC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54816"/>
        <c:axId val="522755144"/>
      </c:scatterChart>
      <c:valAx>
        <c:axId val="5227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55144"/>
        <c:crosses val="autoZero"/>
        <c:crossBetween val="midCat"/>
      </c:valAx>
      <c:valAx>
        <c:axId val="52275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5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'231107_WT_12_Cell 3_Kar9_12_20'!$D$5:$D$7</c:f>
              <c:numCache>
                <c:formatCode>General</c:formatCode>
                <c:ptCount val="3"/>
                <c:pt idx="0">
                  <c:v>22.935456275939899</c:v>
                </c:pt>
                <c:pt idx="1">
                  <c:v>26.7580323219299</c:v>
                </c:pt>
                <c:pt idx="2">
                  <c:v>30.580608367919901</c:v>
                </c:pt>
              </c:numCache>
            </c:numRef>
          </c:xVal>
          <c:yVal>
            <c:numRef>
              <c:f>'231107_WT_12_Cell 3_Kar9_12_20'!$R$5:$R$7</c:f>
              <c:numCache>
                <c:formatCode>General</c:formatCode>
                <c:ptCount val="3"/>
                <c:pt idx="1">
                  <c:v>3.9728992057242535E-2</c:v>
                </c:pt>
                <c:pt idx="2">
                  <c:v>0.16790886556985887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3-4FA2-8716-11F7E240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157856"/>
        <c:axId val="650158184"/>
      </c:scatterChart>
      <c:valAx>
        <c:axId val="6501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58184"/>
        <c:crosses val="autoZero"/>
        <c:crossBetween val="midCat"/>
      </c:valAx>
      <c:valAx>
        <c:axId val="65015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5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600073</xdr:colOff>
      <xdr:row>14</xdr:row>
      <xdr:rowOff>180975</xdr:rowOff>
    </xdr:from>
    <xdr:to>
      <xdr:col>22</xdr:col>
      <xdr:colOff>600074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7E91B-A6A3-4A81-BCF8-54F7DFB5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9526</xdr:colOff>
      <xdr:row>3</xdr:row>
      <xdr:rowOff>133350</xdr:rowOff>
    </xdr:from>
    <xdr:to>
      <xdr:col>27</xdr:col>
      <xdr:colOff>485775</xdr:colOff>
      <xdr:row>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7061D-26F0-4F6A-99A8-3D95904D5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W5" sqref="W5:W7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2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23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T4" t="s">
        <v>19</v>
      </c>
      <c r="U4" t="s">
        <v>20</v>
      </c>
      <c r="V4" t="s">
        <v>21</v>
      </c>
      <c r="W4" t="s">
        <v>22</v>
      </c>
    </row>
    <row r="5" spans="1:23" x14ac:dyDescent="0.25">
      <c r="A5">
        <v>4.8396971513167202</v>
      </c>
      <c r="B5">
        <v>1.33682639539662</v>
      </c>
      <c r="C5">
        <v>3.20281695176475</v>
      </c>
      <c r="D5">
        <v>22.935456275939899</v>
      </c>
      <c r="E5">
        <v>6</v>
      </c>
      <c r="F5">
        <v>336</v>
      </c>
      <c r="G5">
        <v>18758</v>
      </c>
      <c r="H5">
        <v>4.5332534721586404</v>
      </c>
      <c r="I5">
        <v>2.8796841452058199</v>
      </c>
      <c r="J5">
        <v>2.6159734580616401</v>
      </c>
      <c r="K5">
        <v>64.983792781829806</v>
      </c>
      <c r="L5">
        <v>17</v>
      </c>
      <c r="Q5">
        <f>SQRT((A5-H5)^2+(B5-I5)^2+(C5-J5)^2)</f>
        <v>1.6788993569430897</v>
      </c>
      <c r="S5">
        <f>K7-K5</f>
        <v>7.6451520919799947</v>
      </c>
      <c r="T5">
        <f>Q5-Q7</f>
        <v>0.27087201624800361</v>
      </c>
      <c r="U5">
        <f>SQRT((H5-H7)^2+(I5-I7)^2+(J5-J7)^2)</f>
        <v>0.21077064796971462</v>
      </c>
      <c r="W5">
        <f>D5-D$5</f>
        <v>0</v>
      </c>
    </row>
    <row r="6" spans="1:23" x14ac:dyDescent="0.25">
      <c r="A6">
        <v>4.8580793600092598</v>
      </c>
      <c r="B6">
        <v>1.33774207548726</v>
      </c>
      <c r="C6">
        <v>3.1676083059026898</v>
      </c>
      <c r="D6">
        <v>26.7580323219299</v>
      </c>
      <c r="E6">
        <v>7</v>
      </c>
      <c r="F6">
        <v>276</v>
      </c>
      <c r="G6">
        <v>15289</v>
      </c>
      <c r="H6">
        <v>4.5315622984558299</v>
      </c>
      <c r="I6">
        <v>2.7700336170782802</v>
      </c>
      <c r="J6">
        <v>2.5338627297292899</v>
      </c>
      <c r="K6">
        <v>68.806368827819796</v>
      </c>
      <c r="L6">
        <v>18</v>
      </c>
      <c r="Q6">
        <f>SQRT((A6-H6)^2+(B6-I6)^2+(C6-J6)^2)</f>
        <v>1.5999080932722423</v>
      </c>
      <c r="R6">
        <f>SQRT((A5-A6)^2+(B5-B6)^2+(C5-C6)^2)</f>
        <v>3.9728992057242535E-2</v>
      </c>
      <c r="V6">
        <f>(Q5-Q6)/(D6-D5)*60</f>
        <v>1.239864364561877</v>
      </c>
      <c r="W6">
        <f t="shared" ref="W6:W7" si="0">D6-D$5</f>
        <v>3.8225760459900009</v>
      </c>
    </row>
    <row r="7" spans="1:23" x14ac:dyDescent="0.25">
      <c r="A7">
        <v>4.8267484967573804</v>
      </c>
      <c r="B7">
        <v>1.4771767024107001</v>
      </c>
      <c r="C7">
        <v>3.2557544853977198</v>
      </c>
      <c r="D7">
        <v>30.580608367919901</v>
      </c>
      <c r="E7">
        <v>8</v>
      </c>
      <c r="F7">
        <v>282</v>
      </c>
      <c r="G7">
        <v>15612</v>
      </c>
      <c r="H7">
        <v>4.5626568434361197</v>
      </c>
      <c r="I7">
        <v>2.6767172073561798</v>
      </c>
      <c r="J7">
        <v>2.5673511386698999</v>
      </c>
      <c r="K7">
        <v>72.6289448738098</v>
      </c>
      <c r="L7">
        <v>19</v>
      </c>
      <c r="Q7">
        <f>SQRT((A7-H7)^2+(B7-I7)^2+(C7-J7)^2)</f>
        <v>1.4080273406950861</v>
      </c>
      <c r="R7">
        <f>SQRT((A6-A7)^2+(B6-B7)^2+(C6-C7)^2)</f>
        <v>0.16790886556985887</v>
      </c>
      <c r="V7">
        <f>(Q6-Q7)/(D7-D6)*60</f>
        <v>3.0118027780524335</v>
      </c>
      <c r="W7">
        <f t="shared" si="0"/>
        <v>7.6451520919800018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231107_WT_12_Cell 3_Kar9_12_20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cp:lastPrinted>2024-05-25T19:59:53Z</cp:lastPrinted>
  <dcterms:created xsi:type="dcterms:W3CDTF">2024-05-25T19:59:56Z</dcterms:created>
  <dcterms:modified xsi:type="dcterms:W3CDTF">2024-06-17T18:51:16Z</dcterms:modified>
</cp:coreProperties>
</file>