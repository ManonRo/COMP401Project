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AF15ACBC-14D6-4455-A154-9091E376A9C8}" xr6:coauthVersionLast="45" xr6:coauthVersionMax="45" xr10:uidLastSave="{00000000-0000-0000-0000-000000000000}"/>
  <bookViews>
    <workbookView xWindow="765" yWindow="120" windowWidth="27285" windowHeight="14550" xr2:uid="{00000000-000D-0000-FFFF-FFFF00000000}"/>
  </bookViews>
  <sheets>
    <sheet name="231107_WT_4_Cell 4_Kar9_1_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D6" i="1" l="1"/>
  <c r="AD7" i="1"/>
  <c r="AD8" i="1"/>
  <c r="AD5" i="1"/>
  <c r="AC9" i="1" l="1"/>
  <c r="AB9" i="1"/>
  <c r="R9" i="1"/>
  <c r="Q9" i="1"/>
  <c r="AC7" i="1" l="1"/>
  <c r="AC8" i="1"/>
  <c r="AC6" i="1"/>
  <c r="AB6" i="1" l="1"/>
  <c r="AB7" i="1"/>
  <c r="AB8" i="1"/>
  <c r="AB5" i="1"/>
  <c r="AA6" i="1"/>
  <c r="AA7" i="1"/>
  <c r="AA8" i="1"/>
  <c r="AA5" i="1"/>
  <c r="Z6" i="1"/>
  <c r="Z7" i="1"/>
  <c r="Z8" i="1"/>
  <c r="Z5" i="1"/>
  <c r="Y6" i="1"/>
  <c r="Y7" i="1"/>
  <c r="Y8" i="1"/>
  <c r="Y5" i="1"/>
  <c r="X6" i="1" l="1"/>
  <c r="X7" i="1"/>
  <c r="X8" i="1"/>
  <c r="X5" i="1"/>
  <c r="Q5" i="1" l="1"/>
  <c r="W5" i="1" l="1"/>
  <c r="V5" i="1"/>
  <c r="R6" i="1" l="1"/>
  <c r="U8" i="1" l="1"/>
  <c r="U7" i="1"/>
  <c r="U6" i="1"/>
  <c r="U5" i="1"/>
  <c r="T7" i="1"/>
  <c r="T8" i="1"/>
  <c r="T6" i="1"/>
  <c r="S5" i="1" l="1"/>
  <c r="R7" i="1" l="1"/>
  <c r="R8" i="1"/>
  <c r="Q6" i="1"/>
  <c r="Q7" i="1"/>
  <c r="Q8" i="1"/>
</calcChain>
</file>

<file path=xl/sharedStrings.xml><?xml version="1.0" encoding="utf-8"?>
<sst xmlns="http://schemas.openxmlformats.org/spreadsheetml/2006/main" count="34" uniqueCount="26">
  <si>
    <t>POSITION_X</t>
  </si>
  <si>
    <t>POSITION_Y</t>
  </si>
  <si>
    <t>POSITION_Z</t>
  </si>
  <si>
    <t>POSITION_T</t>
  </si>
  <si>
    <t>FRAME</t>
  </si>
  <si>
    <t>MAX_INTENSITY_CH2</t>
  </si>
  <si>
    <t>TOTAL_INTENSITY_CH2</t>
  </si>
  <si>
    <t>X</t>
  </si>
  <si>
    <t>Y</t>
  </si>
  <si>
    <t>Z</t>
  </si>
  <si>
    <t>T</t>
  </si>
  <si>
    <t>Frame</t>
  </si>
  <si>
    <t>Max intensity ch2</t>
  </si>
  <si>
    <t>Sum intensity ch2</t>
  </si>
  <si>
    <t>Max ch2</t>
  </si>
  <si>
    <t>Sum ch2</t>
  </si>
  <si>
    <t>(micron)</t>
  </si>
  <si>
    <t>(sec)</t>
  </si>
  <si>
    <t>(counts)</t>
  </si>
  <si>
    <t>mt length change overall</t>
  </si>
  <si>
    <t>SPB movement overall</t>
  </si>
  <si>
    <t>Spindle midpoint</t>
  </si>
  <si>
    <t>Spindle midpoint distance to anchored Kar9</t>
  </si>
  <si>
    <t>Instantaneous mt deppolym speed</t>
  </si>
  <si>
    <t xml:space="preserve"> </t>
  </si>
  <si>
    <t>normalized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</si>
</sst>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'231107_WT_4_Cell 4_Kar9_1_20'!$D$5:$D$8</c:f>
              <c:numCache>
                <c:formatCode>General</c:formatCode>
                <c:ptCount val="4"/>
                <c:pt idx="0">
                  <c:v>45.8709268569946</c:v>
                </c:pt>
                <c:pt idx="1">
                  <c:v>49.6935040950775</c:v>
                </c:pt>
                <c:pt idx="2">
                  <c:v>53.5160813331604</c:v>
                </c:pt>
                <c:pt idx="3">
                  <c:v>57.338658571243201</c:v>
                </c:pt>
              </c:numCache>
            </c:numRef>
          </c:xVal>
          <c:yVal>
            <c:numRef>
              <c:f>'231107_WT_4_Cell 4_Kar9_1_20'!$Q$5:$Q$8</c:f>
              <c:numCache>
                <c:formatCode>General</c:formatCode>
                <c:ptCount val="4"/>
                <c:pt idx="0">
                  <c:v>0.98023908747676747</c:v>
                </c:pt>
                <c:pt idx="1">
                  <c:v>0.89334082827637407</c:v>
                </c:pt>
                <c:pt idx="2">
                  <c:v>0.83613020604942023</c:v>
                </c:pt>
                <c:pt idx="3">
                  <c:v>0.74617471938123081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61-4AC0-92A3-041E6A7FA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828240"/>
        <c:axId val="473828568"/>
      </c:scatterChart>
      <c:valAx>
        <c:axId val="47382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828568"/>
        <c:crosses val="autoZero"/>
        <c:crossBetween val="midCat"/>
      </c:valAx>
      <c:valAx>
        <c:axId val="473828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82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'231107_WT_4_Cell 4_Kar9_1_20'!#REF!</c:f>
            </c:numRef>
          </c:xVal>
          <c:yVal>
            <c:numRef>
              <c:f>'231107_WT_4_Cell 4_Kar9_1_20'!$R$5:$R$8</c:f>
              <c:numCache>
                <c:formatCode>General</c:formatCode>
                <c:ptCount val="4"/>
                <c:pt idx="1">
                  <c:v>0.18241796848670799</c:v>
                </c:pt>
                <c:pt idx="2">
                  <c:v>0.11518281733136174</c:v>
                </c:pt>
                <c:pt idx="3">
                  <c:v>5.4741789960722868E-2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2C-472D-B640-3A3C9077A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585720"/>
        <c:axId val="663586048"/>
      </c:scatterChart>
      <c:valAx>
        <c:axId val="663585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586048"/>
        <c:crosses val="autoZero"/>
        <c:crossBetween val="midCat"/>
      </c:valAx>
      <c:valAx>
        <c:axId val="66358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585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'231107_WT_4_Cell 4_Kar9_1_20'!$D$5:$D$8</c:f>
              <c:numCache>
                <c:formatCode>General</c:formatCode>
                <c:ptCount val="4"/>
                <c:pt idx="0">
                  <c:v>45.8709268569946</c:v>
                </c:pt>
                <c:pt idx="1">
                  <c:v>49.6935040950775</c:v>
                </c:pt>
                <c:pt idx="2">
                  <c:v>53.5160813331604</c:v>
                </c:pt>
                <c:pt idx="3">
                  <c:v>57.338658571243201</c:v>
                </c:pt>
              </c:numCache>
            </c:numRef>
          </c:xVal>
          <c:yVal>
            <c:numRef>
              <c:f>'231107_WT_4_Cell 4_Kar9_1_20'!$X$5:$X$8</c:f>
              <c:numCache>
                <c:formatCode>General</c:formatCode>
                <c:ptCount val="4"/>
                <c:pt idx="0">
                  <c:v>4.563456368892199</c:v>
                </c:pt>
                <c:pt idx="1">
                  <c:v>4.5135222309106027</c:v>
                </c:pt>
                <c:pt idx="2">
                  <c:v>4.4697194693082167</c:v>
                </c:pt>
                <c:pt idx="3">
                  <c:v>4.392857102653708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D6-4522-9176-9053EBCF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761752"/>
        <c:axId val="462762080"/>
      </c:scatterChart>
      <c:valAx>
        <c:axId val="462761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762080"/>
        <c:crosses val="autoZero"/>
        <c:crossBetween val="midCat"/>
      </c:valAx>
      <c:valAx>
        <c:axId val="46276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761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'231107_WT_4_Cell 4_Kar9_1_20'!$D$5:$D$8</c:f>
              <c:numCache>
                <c:formatCode>General</c:formatCode>
                <c:ptCount val="4"/>
                <c:pt idx="0">
                  <c:v>45.8709268569946</c:v>
                </c:pt>
                <c:pt idx="1">
                  <c:v>49.6935040950775</c:v>
                </c:pt>
                <c:pt idx="2">
                  <c:v>53.5160813331604</c:v>
                </c:pt>
                <c:pt idx="3">
                  <c:v>57.338658571243201</c:v>
                </c:pt>
              </c:numCache>
            </c:numRef>
          </c:xVal>
          <c:yVal>
            <c:numRef>
              <c:f>'231107_WT_4_Cell 4_Kar9_1_20'!$AB$5:$AB$8</c:f>
              <c:numCache>
                <c:formatCode>General</c:formatCode>
                <c:ptCount val="4"/>
                <c:pt idx="0">
                  <c:v>2.7666178773510013</c:v>
                </c:pt>
                <c:pt idx="1">
                  <c:v>2.7032892168057931</c:v>
                </c:pt>
                <c:pt idx="2">
                  <c:v>2.6509567096789297</c:v>
                </c:pt>
                <c:pt idx="3">
                  <c:v>2.56020586315136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63-4A08-86E2-296FF6739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371640"/>
        <c:axId val="665376232"/>
      </c:scatterChart>
      <c:valAx>
        <c:axId val="665371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376232"/>
        <c:crosses val="autoZero"/>
        <c:crossBetween val="midCat"/>
      </c:valAx>
      <c:valAx>
        <c:axId val="665376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371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171450</xdr:colOff>
      <xdr:row>14</xdr:row>
      <xdr:rowOff>66675</xdr:rowOff>
    </xdr:from>
    <xdr:to>
      <xdr:col>17</xdr:col>
      <xdr:colOff>438150</xdr:colOff>
      <xdr:row>28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A7E2FF-4287-4691-8B64-EB044D935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276225</xdr:colOff>
      <xdr:row>13</xdr:row>
      <xdr:rowOff>147638</xdr:rowOff>
    </xdr:from>
    <xdr:to>
      <xdr:col>22</xdr:col>
      <xdr:colOff>438150</xdr:colOff>
      <xdr:row>20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9D42CB-113D-4D3A-92BC-D613335F6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552450</xdr:colOff>
      <xdr:row>12</xdr:row>
      <xdr:rowOff>100012</xdr:rowOff>
    </xdr:from>
    <xdr:to>
      <xdr:col>11</xdr:col>
      <xdr:colOff>247650</xdr:colOff>
      <xdr:row>26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160F17-280B-44C7-8AAE-72F3F4D0C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523875</xdr:colOff>
      <xdr:row>21</xdr:row>
      <xdr:rowOff>14287</xdr:rowOff>
    </xdr:from>
    <xdr:to>
      <xdr:col>25</xdr:col>
      <xdr:colOff>219075</xdr:colOff>
      <xdr:row>35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266972-76E6-4E22-A1B3-CAE6FF241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"/>
  <sheetViews>
    <sheetView tabSelected="1" topLeftCell="D1" workbookViewId="0">
      <selection activeCell="AA15" sqref="AA15"/>
    </sheetView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30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30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15</v>
      </c>
    </row>
    <row r="4" spans="1:30" x14ac:dyDescent="0.25">
      <c r="A4" t="s">
        <v>16</v>
      </c>
      <c r="B4" t="s">
        <v>16</v>
      </c>
      <c r="C4" t="s">
        <v>16</v>
      </c>
      <c r="D4" t="s">
        <v>17</v>
      </c>
      <c r="F4" t="s">
        <v>18</v>
      </c>
      <c r="G4" t="s">
        <v>18</v>
      </c>
      <c r="V4" t="s">
        <v>19</v>
      </c>
      <c r="W4" t="s">
        <v>20</v>
      </c>
      <c r="Y4" t="s">
        <v>21</v>
      </c>
      <c r="AB4" t="s">
        <v>22</v>
      </c>
      <c r="AC4" t="s">
        <v>23</v>
      </c>
      <c r="AD4" t="s">
        <v>25</v>
      </c>
    </row>
    <row r="5" spans="1:30" x14ac:dyDescent="0.25">
      <c r="A5">
        <v>1.51434996285649</v>
      </c>
      <c r="B5">
        <v>0.90971529045099198</v>
      </c>
      <c r="C5">
        <v>2.8027130170993502</v>
      </c>
      <c r="D5">
        <v>45.8709268569946</v>
      </c>
      <c r="E5">
        <v>12</v>
      </c>
      <c r="F5">
        <v>117</v>
      </c>
      <c r="G5">
        <v>6239</v>
      </c>
      <c r="H5">
        <v>2.1767809736625399</v>
      </c>
      <c r="I5">
        <v>1.62189893016113</v>
      </c>
      <c r="J5">
        <v>2.6808594661909702</v>
      </c>
      <c r="K5">
        <v>45.8709268569946</v>
      </c>
      <c r="L5">
        <v>12</v>
      </c>
      <c r="M5">
        <v>4.8960023385628704</v>
      </c>
      <c r="N5">
        <v>3.97345925028772</v>
      </c>
      <c r="O5">
        <v>2.8577964921724899</v>
      </c>
      <c r="Q5">
        <f>SQRT((A5-H5)^2+(B5-I5)^2+(C5-J5)^2)</f>
        <v>0.98023908747676747</v>
      </c>
      <c r="S5">
        <f>K8-K5</f>
        <v>11.4677317142486</v>
      </c>
      <c r="U5">
        <f>SQRT((A5-H5)^2+(B5-I5)^2+(C5-J5)^2)</f>
        <v>0.98023908747676747</v>
      </c>
      <c r="V5">
        <f>Q5-Q8</f>
        <v>0.23406436809553666</v>
      </c>
      <c r="W5">
        <f>SQRT((H5-H8)^2+(I5-I8)^2+(J5-J8)^2)</f>
        <v>0.42254081850942049</v>
      </c>
      <c r="X5">
        <f>SQRT((A5-M5)^2+(B5-N5)^2+(C5-O5)^2)</f>
        <v>4.563456368892199</v>
      </c>
      <c r="Y5">
        <f>AVERAGE(H5,M5)</f>
        <v>3.5363916561127051</v>
      </c>
      <c r="Z5">
        <f>AVERAGE(I5,N5)</f>
        <v>2.7976790902244248</v>
      </c>
      <c r="AA5">
        <f>AVERAGE(J5,O5)</f>
        <v>2.76932797918173</v>
      </c>
      <c r="AB5">
        <f>SQRT((A5-Y5)^2+(B5-Z5)^2+(C5-AA5)^2)</f>
        <v>2.7666178773510013</v>
      </c>
      <c r="AD5">
        <f>D5-D$5</f>
        <v>0</v>
      </c>
    </row>
    <row r="6" spans="1:30" x14ac:dyDescent="0.25">
      <c r="A6">
        <v>1.5637370514870099</v>
      </c>
      <c r="B6">
        <v>0.79413377729410295</v>
      </c>
      <c r="C6">
        <v>2.6705080833041901</v>
      </c>
      <c r="D6">
        <v>49.6935040950775</v>
      </c>
      <c r="E6">
        <v>13</v>
      </c>
      <c r="F6">
        <v>78</v>
      </c>
      <c r="G6">
        <v>4164</v>
      </c>
      <c r="H6">
        <v>2.19595230711997</v>
      </c>
      <c r="I6">
        <v>1.4250578576084101</v>
      </c>
      <c r="J6">
        <v>2.6532885917317102</v>
      </c>
      <c r="K6">
        <v>49.6935040950775</v>
      </c>
      <c r="L6">
        <v>13</v>
      </c>
      <c r="M6">
        <v>4.7924734128168103</v>
      </c>
      <c r="N6">
        <v>3.94791949502038</v>
      </c>
      <c r="O6">
        <v>2.6984380782339099</v>
      </c>
      <c r="Q6">
        <f t="shared" ref="Q6:Q9" si="0">SQRT((A6-H6)^2+(B6-I6)^2+(C6-J6)^2)</f>
        <v>0.89334082827637407</v>
      </c>
      <c r="R6">
        <f>SQRT((A5-A6)^2+(B5-B6)^2+(C5-C6)^2)</f>
        <v>0.18241796848670799</v>
      </c>
      <c r="T6">
        <f>SQRT((H5-H6)^2+(I5-I6)^2+(J5-J6)^2)</f>
        <v>0.1996850044161789</v>
      </c>
      <c r="U6">
        <f>SQRT((A5-H6)^2+(B5-I6)^2+(C5-J6)^2)</f>
        <v>0.86746030233453275</v>
      </c>
      <c r="X6">
        <f t="shared" ref="X6:X8" si="1">SQRT((A6-M6)^2+(B6-N6)^2+(C6-O6)^2)</f>
        <v>4.5135222309106027</v>
      </c>
      <c r="Y6">
        <f t="shared" ref="Y6:Y8" si="2">AVERAGE(H6,M6)</f>
        <v>3.4942128599683899</v>
      </c>
      <c r="Z6">
        <f t="shared" ref="Z6:Z8" si="3">AVERAGE(I6,N6)</f>
        <v>2.6864886763143949</v>
      </c>
      <c r="AA6">
        <f t="shared" ref="AA6:AA8" si="4">AVERAGE(J6,O6)</f>
        <v>2.67586333498281</v>
      </c>
      <c r="AB6">
        <f t="shared" ref="AB6:AB8" si="5">SQRT((A6-Y6)^2+(B6-Z6)^2+(C6-AA6)^2)</f>
        <v>2.7032892168057931</v>
      </c>
      <c r="AC6">
        <f>(Q5-Q6)/(D6-D5)*60</f>
        <v>1.3639738917711126</v>
      </c>
      <c r="AD6">
        <f t="shared" ref="AD6:AD8" si="6">D6-D$5</f>
        <v>3.8225772380829</v>
      </c>
    </row>
    <row r="7" spans="1:30" x14ac:dyDescent="0.25">
      <c r="A7">
        <v>1.4587208176872799</v>
      </c>
      <c r="B7">
        <v>0.81769561304262595</v>
      </c>
      <c r="C7">
        <v>2.7115387053208</v>
      </c>
      <c r="D7">
        <v>53.5160813331604</v>
      </c>
      <c r="E7">
        <v>14</v>
      </c>
      <c r="F7">
        <v>100</v>
      </c>
      <c r="G7">
        <v>5376</v>
      </c>
      <c r="H7">
        <v>2.09716178666738</v>
      </c>
      <c r="I7">
        <v>1.3557064034307</v>
      </c>
      <c r="J7">
        <v>2.7568293226934601</v>
      </c>
      <c r="K7">
        <v>53.5160813331604</v>
      </c>
      <c r="L7">
        <v>14</v>
      </c>
      <c r="M7">
        <v>4.661545815138</v>
      </c>
      <c r="N7">
        <v>3.93361623053159</v>
      </c>
      <c r="O7">
        <v>2.60503576862458</v>
      </c>
      <c r="Q7">
        <f t="shared" si="0"/>
        <v>0.83613020604942023</v>
      </c>
      <c r="R7">
        <f t="shared" ref="R7:R9" si="7">SQRT((A6-A7)^2+(B6-B7)^2+(C6-C7)^2)</f>
        <v>0.11518281733136174</v>
      </c>
      <c r="T7">
        <f t="shared" ref="T7:T8" si="8">SQRT((H6-H7)^2+(I6-I7)^2+(J6-J7)^2)</f>
        <v>0.15902790351366053</v>
      </c>
      <c r="U7">
        <f>SQRT((A5-H7)^2+(B5-I7)^2+(C5-J7)^2)</f>
        <v>0.7353115042232018</v>
      </c>
      <c r="X7">
        <f t="shared" si="1"/>
        <v>4.4697194693082167</v>
      </c>
      <c r="Y7">
        <f t="shared" si="2"/>
        <v>3.37935380090269</v>
      </c>
      <c r="Z7">
        <f t="shared" si="3"/>
        <v>2.644661316981145</v>
      </c>
      <c r="AA7">
        <f t="shared" si="4"/>
        <v>2.6809325456590201</v>
      </c>
      <c r="AB7">
        <f t="shared" si="5"/>
        <v>2.6509567096789297</v>
      </c>
      <c r="AC7">
        <f t="shared" ref="AC7:AC9" si="9">(Q6-Q7)/(D7-D6)*60</f>
        <v>0.89799031381737815</v>
      </c>
      <c r="AD7">
        <f t="shared" si="6"/>
        <v>7.6451544761657999</v>
      </c>
    </row>
    <row r="8" spans="1:30" x14ac:dyDescent="0.25">
      <c r="A8">
        <v>1.4245337249913399</v>
      </c>
      <c r="B8">
        <v>0.85865487679256303</v>
      </c>
      <c r="C8">
        <v>2.7237961509831798</v>
      </c>
      <c r="D8">
        <v>57.338658571243201</v>
      </c>
      <c r="E8">
        <v>15</v>
      </c>
      <c r="F8">
        <v>73</v>
      </c>
      <c r="G8">
        <v>3994</v>
      </c>
      <c r="H8">
        <v>2.0406587945894601</v>
      </c>
      <c r="I8">
        <v>1.2598797874227701</v>
      </c>
      <c r="J8">
        <v>2.8510171458942102</v>
      </c>
      <c r="K8">
        <v>57.338658571243201</v>
      </c>
      <c r="L8">
        <v>15</v>
      </c>
      <c r="M8">
        <v>4.6234909718987804</v>
      </c>
      <c r="N8">
        <v>3.8691563428981199</v>
      </c>
      <c r="O8">
        <v>2.7511270743081302</v>
      </c>
      <c r="Q8">
        <f t="shared" si="0"/>
        <v>0.74617471938123081</v>
      </c>
      <c r="R8">
        <f t="shared" si="7"/>
        <v>5.4741789960722868E-2</v>
      </c>
      <c r="T8">
        <f t="shared" si="8"/>
        <v>0.14576239051478429</v>
      </c>
      <c r="U8">
        <f>SQRT((A5-H8)^2+(B5-I8)^2+(C5-J8)^2)</f>
        <v>0.63399483448861993</v>
      </c>
      <c r="X8">
        <f t="shared" si="1"/>
        <v>4.392857102653708</v>
      </c>
      <c r="Y8">
        <f t="shared" si="2"/>
        <v>3.33207488324412</v>
      </c>
      <c r="Z8">
        <f t="shared" si="3"/>
        <v>2.5645180651604451</v>
      </c>
      <c r="AA8">
        <f t="shared" si="4"/>
        <v>2.8010721101011704</v>
      </c>
      <c r="AB8">
        <f t="shared" si="5"/>
        <v>2.56020586315136</v>
      </c>
      <c r="AC8">
        <f t="shared" si="9"/>
        <v>1.4119607960618672</v>
      </c>
      <c r="AD8">
        <f t="shared" si="6"/>
        <v>11.4677317142486</v>
      </c>
    </row>
    <row r="9" spans="1:30" s="1" customFormat="1" x14ac:dyDescent="0.25">
      <c r="A9" s="1">
        <v>1.5887879702647201</v>
      </c>
      <c r="B9" s="1">
        <v>0.804395468585274</v>
      </c>
      <c r="C9" s="1">
        <v>2.90793935127672</v>
      </c>
      <c r="D9" s="1">
        <v>61.161235809326101</v>
      </c>
      <c r="F9" s="1">
        <v>71</v>
      </c>
      <c r="G9" s="1">
        <v>3865</v>
      </c>
      <c r="H9" s="1">
        <v>2.0528217771134898</v>
      </c>
      <c r="I9" s="1">
        <v>1.2105758156265201</v>
      </c>
      <c r="J9" s="1">
        <v>2.84927201794966</v>
      </c>
      <c r="K9" s="1">
        <v>61.161235809326101</v>
      </c>
      <c r="Q9" s="1">
        <f t="shared" si="0"/>
        <v>0.61947696020176313</v>
      </c>
      <c r="R9">
        <f t="shared" si="7"/>
        <v>0.2526504674123517</v>
      </c>
      <c r="AB9">
        <f>SQRT((A9-Y9)^2+(B9-Z9)^2+(C9-AA9)^2)</f>
        <v>3.409898906865434</v>
      </c>
      <c r="AC9">
        <f t="shared" si="9"/>
        <v>1.9886754608993986</v>
      </c>
    </row>
    <row r="11" spans="1:30" x14ac:dyDescent="0.25">
      <c r="Q11" t="s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231107_WT_4_Cell 4_Kar9_1_20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2024-05-21T20:49:21Z</dcterms:created>
  <dcterms:modified xsi:type="dcterms:W3CDTF">2024-06-17T18:36:27Z</dcterms:modified>
</cp:coreProperties>
</file>