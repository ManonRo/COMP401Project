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lyra\STACKS\1minute_3second updated\WT Anaphase A\"/>
    </mc:Choice>
  </mc:AlternateContent>
  <xr:revisionPtr revIDLastSave="0" documentId="13_ncr:1_{F6CAF3C1-8DD8-4382-B7F8-AFB5AA3FDF62}" xr6:coauthVersionLast="45" xr6:coauthVersionMax="45" xr10:uidLastSave="{00000000-0000-0000-0000-000000000000}"/>
  <bookViews>
    <workbookView xWindow="1905" yWindow="495" windowWidth="27285" windowHeight="14550" xr2:uid="{00000000-000D-0000-FFFF-FFFF00000000}"/>
  </bookViews>
  <sheets>
    <sheet name="231107_WT_1_Cell 4_Kar9_8_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E10" i="1" l="1"/>
  <c r="AE9" i="1"/>
  <c r="AE8" i="1"/>
  <c r="AE7" i="1"/>
  <c r="AE6" i="1"/>
  <c r="AD10" i="1" l="1"/>
  <c r="Q10" i="1"/>
  <c r="R10" i="1"/>
  <c r="AD8" i="1" l="1"/>
  <c r="AD9" i="1"/>
  <c r="AD7" i="1"/>
  <c r="AC6" i="1" l="1"/>
  <c r="AC7" i="1" l="1"/>
  <c r="AC8" i="1"/>
  <c r="AC9" i="1"/>
  <c r="X6" i="1"/>
  <c r="Y6" i="1"/>
  <c r="AB7" i="1"/>
  <c r="AB8" i="1"/>
  <c r="AB9" i="1"/>
  <c r="AB6" i="1"/>
  <c r="AA7" i="1"/>
  <c r="AA8" i="1"/>
  <c r="AA9" i="1"/>
  <c r="AA6" i="1"/>
  <c r="Z7" i="1"/>
  <c r="Z8" i="1"/>
  <c r="Z9" i="1"/>
  <c r="Z6" i="1"/>
  <c r="P7" i="1" l="1"/>
  <c r="P8" i="1"/>
  <c r="P9" i="1"/>
  <c r="P6" i="1"/>
  <c r="Y7" i="1"/>
  <c r="Y8" i="1"/>
  <c r="Y9" i="1"/>
  <c r="X7" i="1"/>
  <c r="X8" i="1"/>
  <c r="X9" i="1"/>
  <c r="Q6" i="1"/>
  <c r="W6" i="1" l="1"/>
  <c r="T9" i="1"/>
  <c r="U9" i="1"/>
  <c r="U6" i="1"/>
  <c r="V6" i="1"/>
  <c r="U8" i="1" l="1"/>
  <c r="U7" i="1"/>
  <c r="T8" i="1"/>
  <c r="T7" i="1"/>
  <c r="S6" i="1" l="1"/>
  <c r="R7" i="1" l="1"/>
  <c r="R8" i="1"/>
  <c r="R9" i="1"/>
  <c r="Q7" i="1"/>
  <c r="Q8" i="1"/>
  <c r="Q9" i="1"/>
</calcChain>
</file>

<file path=xl/sharedStrings.xml><?xml version="1.0" encoding="utf-8"?>
<sst xmlns="http://schemas.openxmlformats.org/spreadsheetml/2006/main" count="51" uniqueCount="31">
  <si>
    <t>POSITION_X</t>
  </si>
  <si>
    <t>POSITION_Y</t>
  </si>
  <si>
    <t>POSITION_Z</t>
  </si>
  <si>
    <t>POSITION_T</t>
  </si>
  <si>
    <t>FRAME</t>
  </si>
  <si>
    <t>MAX_INTENSITY_CH2</t>
  </si>
  <si>
    <t>TOTAL_INTENSITY_CH2</t>
  </si>
  <si>
    <t>X</t>
  </si>
  <si>
    <t>Y</t>
  </si>
  <si>
    <t>Z</t>
  </si>
  <si>
    <t>T</t>
  </si>
  <si>
    <t>Frame</t>
  </si>
  <si>
    <t>Max intensity ch2</t>
  </si>
  <si>
    <t>Sum intensity ch2</t>
  </si>
  <si>
    <t>Max ch2</t>
  </si>
  <si>
    <t>Sum ch2</t>
  </si>
  <si>
    <t>(micron)</t>
  </si>
  <si>
    <t>(sec)</t>
  </si>
  <si>
    <t>(counts)</t>
  </si>
  <si>
    <t>OLD</t>
  </si>
  <si>
    <t>NEW</t>
  </si>
  <si>
    <t>duration</t>
  </si>
  <si>
    <t>Kar9 movement</t>
  </si>
  <si>
    <t>SPB movement</t>
  </si>
  <si>
    <t xml:space="preserve"> </t>
  </si>
  <si>
    <t>mt length change overall</t>
  </si>
  <si>
    <t>SPB movement change overall</t>
  </si>
  <si>
    <t>Spindle midpoint</t>
  </si>
  <si>
    <t>Spindle midpoint to anchored Kar9 distance</t>
  </si>
  <si>
    <t>Instantaneous depolym speed</t>
  </si>
  <si>
    <t>Normalized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</si>
</sst>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4073438839946986"/>
                  <c:y val="-0.25666489685484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'231107_WT_1_Cell 4_Kar9_8_12'!$D$6:$D$9</c:f>
              <c:numCache>
                <c:formatCode>General</c:formatCode>
                <c:ptCount val="4"/>
                <c:pt idx="0">
                  <c:v>3.8217401500000001</c:v>
                </c:pt>
                <c:pt idx="1">
                  <c:v>7.6434803010000003</c:v>
                </c:pt>
                <c:pt idx="2">
                  <c:v>11.46522045</c:v>
                </c:pt>
                <c:pt idx="3">
                  <c:v>15.2869606</c:v>
                </c:pt>
              </c:numCache>
            </c:numRef>
          </c:xVal>
          <c:yVal>
            <c:numRef>
              <c:f>'231107_WT_1_Cell 4_Kar9_8_12'!$Q$6:$Q$9</c:f>
              <c:numCache>
                <c:formatCode>General</c:formatCode>
                <c:ptCount val="4"/>
                <c:pt idx="0">
                  <c:v>2.2313778439003507</c:v>
                </c:pt>
                <c:pt idx="1">
                  <c:v>2.1742436107218222</c:v>
                </c:pt>
                <c:pt idx="2">
                  <c:v>2.0692309685485042</c:v>
                </c:pt>
                <c:pt idx="3">
                  <c:v>1.9608721477147038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84-4E51-8718-90B586F48A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558184"/>
        <c:axId val="201558512"/>
      </c:scatterChart>
      <c:valAx>
        <c:axId val="2015581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58512"/>
        <c:crosses val="autoZero"/>
        <c:crossBetween val="midCat"/>
      </c:valAx>
      <c:valAx>
        <c:axId val="20155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558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9.5224183183998556E-2"/>
                  <c:y val="0.280036853000384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'231107_WT_1_Cell 4_Kar9_8_12'!$D$6:$D$9</c:f>
              <c:numCache>
                <c:formatCode>General</c:formatCode>
                <c:ptCount val="4"/>
                <c:pt idx="0">
                  <c:v>3.8217401500000001</c:v>
                </c:pt>
                <c:pt idx="1">
                  <c:v>7.6434803010000003</c:v>
                </c:pt>
                <c:pt idx="2">
                  <c:v>11.46522045</c:v>
                </c:pt>
                <c:pt idx="3">
                  <c:v>15.2869606</c:v>
                </c:pt>
              </c:numCache>
            </c:numRef>
          </c:xVal>
          <c:yVal>
            <c:numRef>
              <c:f>'231107_WT_1_Cell 4_Kar9_8_12'!$X$6:$X$9</c:f>
              <c:numCache>
                <c:formatCode>General</c:formatCode>
                <c:ptCount val="4"/>
                <c:pt idx="0">
                  <c:v>2.1857176034838428</c:v>
                </c:pt>
                <c:pt idx="1">
                  <c:v>2.2766656839714976</c:v>
                </c:pt>
                <c:pt idx="2">
                  <c:v>2.1700204064566688</c:v>
                </c:pt>
                <c:pt idx="3">
                  <c:v>2.6719744445717741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01-4E2A-ABEF-8A7E140A0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3872424"/>
        <c:axId val="453872752"/>
      </c:scatterChart>
      <c:valAx>
        <c:axId val="453872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72752"/>
        <c:crosses val="autoZero"/>
        <c:crossBetween val="midCat"/>
      </c:valAx>
      <c:valAx>
        <c:axId val="453872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872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3838484475154891"/>
                  <c:y val="-5.557756588591687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'231107_WT_1_Cell 4_Kar9_8_12'!$P$6:$P$9</c:f>
              <c:numCache>
                <c:formatCode>General</c:formatCode>
                <c:ptCount val="4"/>
                <c:pt idx="0">
                  <c:v>6.3695669166666663E-2</c:v>
                </c:pt>
                <c:pt idx="1">
                  <c:v>0.12739133834999999</c:v>
                </c:pt>
                <c:pt idx="2">
                  <c:v>0.19108700750000002</c:v>
                </c:pt>
                <c:pt idx="3">
                  <c:v>0.25478267666666665</c:v>
                </c:pt>
              </c:numCache>
            </c:numRef>
          </c:xVal>
          <c:yVal>
            <c:numRef>
              <c:f>'231107_WT_1_Cell 4_Kar9_8_12'!$Y$6:$Y$9</c:f>
              <c:numCache>
                <c:formatCode>General</c:formatCode>
                <c:ptCount val="4"/>
                <c:pt idx="0">
                  <c:v>2.8511021855443266</c:v>
                </c:pt>
                <c:pt idx="1">
                  <c:v>2.9713013875437824</c:v>
                </c:pt>
                <c:pt idx="2">
                  <c:v>2.8127568356014079</c:v>
                </c:pt>
                <c:pt idx="3">
                  <c:v>3.0985313955314009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9-407A-AA11-6D145DE7F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0030952"/>
        <c:axId val="620031280"/>
      </c:scatterChart>
      <c:valAx>
        <c:axId val="620030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031280"/>
        <c:crosses val="autoZero"/>
        <c:crossBetween val="midCat"/>
      </c:valAx>
      <c:valAx>
        <c:axId val="62003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030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'231107_WT_1_Cell 4_Kar9_8_12'!$K$6:$K$9</c:f>
              <c:numCache>
                <c:formatCode>General</c:formatCode>
                <c:ptCount val="4"/>
                <c:pt idx="0">
                  <c:v>30.573921200000001</c:v>
                </c:pt>
                <c:pt idx="1">
                  <c:v>34.395661349999997</c:v>
                </c:pt>
                <c:pt idx="2">
                  <c:v>38.217401500000001</c:v>
                </c:pt>
                <c:pt idx="3">
                  <c:v>42.039141649999998</c:v>
                </c:pt>
              </c:numCache>
            </c:numRef>
          </c:xVal>
          <c:yVal>
            <c:numRef>
              <c:f>'231107_WT_1_Cell 4_Kar9_8_12'!$AC$6:$AC$9</c:f>
              <c:numCache>
                <c:formatCode>General</c:formatCode>
                <c:ptCount val="4"/>
                <c:pt idx="0">
                  <c:v>1.6870116609289803</c:v>
                </c:pt>
                <c:pt idx="1">
                  <c:v>1.6577433377227413</c:v>
                </c:pt>
                <c:pt idx="2">
                  <c:v>1.586648174222522</c:v>
                </c:pt>
                <c:pt idx="3">
                  <c:v>1.7584110167394074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A7-4B3B-9A2D-9AA31DC0F3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208256"/>
        <c:axId val="667208584"/>
      </c:scatterChart>
      <c:valAx>
        <c:axId val="667208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208584"/>
        <c:crosses val="autoZero"/>
        <c:crossBetween val="midCat"/>
      </c:valAx>
      <c:valAx>
        <c:axId val="667208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208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371476</xdr:colOff>
      <xdr:row>23</xdr:row>
      <xdr:rowOff>185737</xdr:rowOff>
    </xdr:from>
    <xdr:to>
      <xdr:col>31</xdr:col>
      <xdr:colOff>66676</xdr:colOff>
      <xdr:row>31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B23F5F-267A-4CCF-B4ED-2F8F37652D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38100</xdr:colOff>
      <xdr:row>25</xdr:row>
      <xdr:rowOff>61912</xdr:rowOff>
    </xdr:from>
    <xdr:to>
      <xdr:col>19</xdr:col>
      <xdr:colOff>304800</xdr:colOff>
      <xdr:row>34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8352F9-702D-467D-8394-CCBDF87672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85725</xdr:colOff>
      <xdr:row>24</xdr:row>
      <xdr:rowOff>128587</xdr:rowOff>
    </xdr:from>
    <xdr:to>
      <xdr:col>15</xdr:col>
      <xdr:colOff>447675</xdr:colOff>
      <xdr:row>35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78A447-336B-42A8-A6B9-1AD4C40E2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314325</xdr:colOff>
      <xdr:row>24</xdr:row>
      <xdr:rowOff>4762</xdr:rowOff>
    </xdr:from>
    <xdr:to>
      <xdr:col>26</xdr:col>
      <xdr:colOff>123825</xdr:colOff>
      <xdr:row>35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4869291-CA76-4EE7-9F99-4AB9C3E0B6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E19"/>
  <sheetViews>
    <sheetView tabSelected="1" topLeftCell="I1" workbookViewId="0">
      <selection activeCell="AE6" sqref="AE6:AE10"/>
    </sheetView>
  </sheetViews>
  <sheetFormatPr defaultRowHeight="15" x14ac:dyDescent="0.25"/>
  <cols>
    <col min="18" max="18" width="19.140625" customWidth="1"/>
    <col min="22" max="22" width="11.42578125" customWidth="1"/>
  </cols>
  <sheetData>
    <row r="2" spans="1:3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31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19</v>
      </c>
      <c r="M3" t="s">
        <v>20</v>
      </c>
    </row>
    <row r="4" spans="1:31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14</v>
      </c>
      <c r="G4" t="s">
        <v>15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7</v>
      </c>
      <c r="N4" t="s">
        <v>8</v>
      </c>
      <c r="O4" t="s">
        <v>9</v>
      </c>
      <c r="Z4" t="s">
        <v>27</v>
      </c>
      <c r="AC4" t="s">
        <v>28</v>
      </c>
    </row>
    <row r="5" spans="1:31" x14ac:dyDescent="0.25">
      <c r="A5" t="s">
        <v>16</v>
      </c>
      <c r="B5" t="s">
        <v>16</v>
      </c>
      <c r="C5" t="s">
        <v>16</v>
      </c>
      <c r="D5" t="s">
        <v>17</v>
      </c>
      <c r="F5" t="s">
        <v>18</v>
      </c>
      <c r="G5" t="s">
        <v>18</v>
      </c>
      <c r="R5" t="s">
        <v>22</v>
      </c>
      <c r="S5" t="s">
        <v>21</v>
      </c>
      <c r="T5" t="s">
        <v>23</v>
      </c>
      <c r="V5" t="s">
        <v>25</v>
      </c>
      <c r="W5" t="s">
        <v>26</v>
      </c>
      <c r="Z5" t="s">
        <v>7</v>
      </c>
      <c r="AA5" t="s">
        <v>8</v>
      </c>
      <c r="AB5" t="s">
        <v>9</v>
      </c>
      <c r="AD5" t="s">
        <v>29</v>
      </c>
      <c r="AE5" t="s">
        <v>30</v>
      </c>
    </row>
    <row r="6" spans="1:31" x14ac:dyDescent="0.25">
      <c r="A6">
        <v>4.3637779380000001</v>
      </c>
      <c r="B6">
        <v>2.598863041</v>
      </c>
      <c r="C6">
        <v>1.701602346</v>
      </c>
      <c r="D6">
        <v>3.8217401500000001</v>
      </c>
      <c r="E6">
        <v>1</v>
      </c>
      <c r="F6">
        <v>127</v>
      </c>
      <c r="G6">
        <v>6970</v>
      </c>
      <c r="H6">
        <v>4.4136467130000003</v>
      </c>
      <c r="I6">
        <v>4.0225973110000002</v>
      </c>
      <c r="J6">
        <v>3.4190250999999998</v>
      </c>
      <c r="K6">
        <v>30.573921200000001</v>
      </c>
      <c r="L6">
        <v>8</v>
      </c>
      <c r="M6">
        <v>3.1587860870000002</v>
      </c>
      <c r="N6">
        <v>4.2199854969999997</v>
      </c>
      <c r="O6">
        <v>0.86654662100000002</v>
      </c>
      <c r="P6">
        <f>D6/60</f>
        <v>6.3695669166666663E-2</v>
      </c>
      <c r="Q6">
        <f>SQRT((A6-H6)^2+(B6-I6)^2+(C6-J6)^2)</f>
        <v>2.2313778439003507</v>
      </c>
      <c r="S6">
        <f>K9-K6</f>
        <v>11.465220449999997</v>
      </c>
      <c r="U6">
        <f>SQRT((A6-H6)^2+(B6-I6)^2+(C6-J6)^2)</f>
        <v>2.2313778439003507</v>
      </c>
      <c r="V6">
        <f>Q6-Q9</f>
        <v>0.2705056961856469</v>
      </c>
      <c r="W6">
        <f>SQRT((H6-H9)^2+(I6-I9)^2+(J6-J9)^2)</f>
        <v>0.17741170276111098</v>
      </c>
      <c r="X6">
        <f>SQRT((A6-M6)^2+(B6-N6)^2+(C6-O6)^2)</f>
        <v>2.1857176034838428</v>
      </c>
      <c r="Y6">
        <f>SQRT((H6-M6)^2+(I6-N6)^2+(J6-O6)^2)</f>
        <v>2.8511021855443266</v>
      </c>
      <c r="Z6">
        <f>AVERAGE(H6,M6)</f>
        <v>3.7862164000000003</v>
      </c>
      <c r="AA6">
        <f>AVERAGE(I6,N6)</f>
        <v>4.1212914039999999</v>
      </c>
      <c r="AB6">
        <f>AVERAGE(J6,O6)</f>
        <v>2.1427858605000001</v>
      </c>
      <c r="AC6">
        <f>SQRT((A6-Z6)^2+(B6-AA6)^2+(C6-AB6)^2)</f>
        <v>1.6870116609289803</v>
      </c>
      <c r="AE6">
        <f>D6-D6</f>
        <v>0</v>
      </c>
    </row>
    <row r="7" spans="1:31" x14ac:dyDescent="0.25">
      <c r="A7">
        <v>4.3725653040000001</v>
      </c>
      <c r="B7">
        <v>2.5965591049999999</v>
      </c>
      <c r="C7">
        <v>1.8304411620000001</v>
      </c>
      <c r="D7">
        <v>7.6434803010000003</v>
      </c>
      <c r="E7">
        <v>2</v>
      </c>
      <c r="F7">
        <v>169</v>
      </c>
      <c r="G7">
        <v>8914</v>
      </c>
      <c r="H7">
        <v>4.4447982389999998</v>
      </c>
      <c r="I7">
        <v>3.9872563740000002</v>
      </c>
      <c r="J7">
        <v>3.500195272</v>
      </c>
      <c r="K7">
        <v>34.395661349999997</v>
      </c>
      <c r="L7">
        <v>9</v>
      </c>
      <c r="M7">
        <v>3.171368341</v>
      </c>
      <c r="N7">
        <v>4.250827149</v>
      </c>
      <c r="O7">
        <v>0.82857803200000002</v>
      </c>
      <c r="P7">
        <f t="shared" ref="P7:P9" si="0">D7/60</f>
        <v>0.12739133834999999</v>
      </c>
      <c r="Q7">
        <f>SQRT((A7-H7)^2+(B7-I7)^2+(C7-J7)^2)</f>
        <v>2.1742436107218222</v>
      </c>
      <c r="R7">
        <f>SQRT((A6-A7)^2+(B6-B7)^2+(C6-C7)^2)</f>
        <v>0.12915868701172178</v>
      </c>
      <c r="T7">
        <f>SQRT((H6-H7)^2+(I6-I7)^2+(J6-J7)^2)</f>
        <v>9.3850925529140233E-2</v>
      </c>
      <c r="U7">
        <f>SQRT((A6-H7)^2+(B6-I7)^2+(C6-J7)^2)</f>
        <v>2.27357358573463</v>
      </c>
      <c r="X7">
        <f t="shared" ref="X7:X9" si="1">SQRT((A7-M7)^2+(B7-N7)^2+(C7-O7)^2)</f>
        <v>2.2766656839714976</v>
      </c>
      <c r="Y7">
        <f t="shared" ref="Y7:Y9" si="2">SQRT((H7-M7)^2+(I7-N7)^2+(J7-O7)^2)</f>
        <v>2.9713013875437824</v>
      </c>
      <c r="Z7">
        <f t="shared" ref="Z7:Z9" si="3">AVERAGE(H7,M7)</f>
        <v>3.8080832899999999</v>
      </c>
      <c r="AA7">
        <f t="shared" ref="AA7:AA9" si="4">AVERAGE(I7,N7)</f>
        <v>4.1190417615000001</v>
      </c>
      <c r="AB7">
        <f t="shared" ref="AB7:AB9" si="5">AVERAGE(J7,O7)</f>
        <v>2.1643866520000001</v>
      </c>
      <c r="AC7">
        <f t="shared" ref="AC7:AC9" si="6">SQRT((A7-Z7)^2+(B7-AA7)^2+(C7-AB7)^2)</f>
        <v>1.6577433377227413</v>
      </c>
      <c r="AD7">
        <f>(Q6-Q7)/(K7-K6)*60</f>
        <v>0.89698772186583986</v>
      </c>
      <c r="AE7">
        <f>D7-D6</f>
        <v>3.8217401510000002</v>
      </c>
    </row>
    <row r="8" spans="1:31" x14ac:dyDescent="0.25">
      <c r="A8">
        <v>4.4744924599999996</v>
      </c>
      <c r="B8">
        <v>2.7256888720000001</v>
      </c>
      <c r="C8">
        <v>1.7955212890000001</v>
      </c>
      <c r="D8">
        <v>11.46522045</v>
      </c>
      <c r="E8">
        <v>3</v>
      </c>
      <c r="F8">
        <v>147</v>
      </c>
      <c r="G8">
        <v>7782</v>
      </c>
      <c r="H8">
        <v>4.3124360429999999</v>
      </c>
      <c r="I8">
        <v>3.9386948679999998</v>
      </c>
      <c r="J8">
        <v>3.4640748459999999</v>
      </c>
      <c r="K8">
        <v>38.217401500000001</v>
      </c>
      <c r="L8">
        <v>10</v>
      </c>
      <c r="M8">
        <v>3.1763361470000002</v>
      </c>
      <c r="N8">
        <v>4.2200933540000003</v>
      </c>
      <c r="O8">
        <v>0.90640150200000003</v>
      </c>
      <c r="P8">
        <f t="shared" si="0"/>
        <v>0.19108700750000002</v>
      </c>
      <c r="Q8">
        <f>SQRT((A8-H8)^2+(B8-I8)^2+(C8-J8)^2)</f>
        <v>2.0692309685485042</v>
      </c>
      <c r="R8">
        <f>SQRT((A7-A8)^2+(B7-B8)^2+(C7-C8)^2)</f>
        <v>0.16817562066500216</v>
      </c>
      <c r="T8">
        <f t="shared" ref="T8" si="7">SQRT((H7-H8)^2+(I7-I8)^2+(J7-J8)^2)</f>
        <v>0.14554262595319609</v>
      </c>
      <c r="U8">
        <f>SQRT((A6-H8)^2+(B6-I8)^2+(C6-J8)^2)</f>
        <v>2.2145190511893542</v>
      </c>
      <c r="X8">
        <f t="shared" si="1"/>
        <v>2.1700204064566688</v>
      </c>
      <c r="Y8">
        <f t="shared" si="2"/>
        <v>2.8127568356014079</v>
      </c>
      <c r="Z8">
        <f t="shared" si="3"/>
        <v>3.7443860950000003</v>
      </c>
      <c r="AA8">
        <f t="shared" si="4"/>
        <v>4.079394111</v>
      </c>
      <c r="AB8">
        <f t="shared" si="5"/>
        <v>2.1852381740000002</v>
      </c>
      <c r="AC8">
        <f t="shared" si="6"/>
        <v>1.586648174222522</v>
      </c>
      <c r="AD8">
        <f t="shared" ref="AD8:AD10" si="8">(Q7-Q8)/(K8-K7)*60</f>
        <v>1.6486622017980661</v>
      </c>
      <c r="AE8">
        <f>D8-D6</f>
        <v>7.6434803000000002</v>
      </c>
    </row>
    <row r="9" spans="1:31" x14ac:dyDescent="0.25">
      <c r="A9">
        <v>4.4757043139999997</v>
      </c>
      <c r="B9">
        <v>2.7101603019999998</v>
      </c>
      <c r="C9">
        <v>1.9238042420000001</v>
      </c>
      <c r="D9">
        <v>15.2869606</v>
      </c>
      <c r="E9">
        <v>4</v>
      </c>
      <c r="F9">
        <v>115</v>
      </c>
      <c r="G9">
        <v>6095</v>
      </c>
      <c r="H9">
        <v>4.288566651</v>
      </c>
      <c r="I9">
        <v>3.9060672969999999</v>
      </c>
      <c r="J9">
        <v>3.4664660760000001</v>
      </c>
      <c r="K9">
        <v>42.039141649999998</v>
      </c>
      <c r="L9">
        <v>11</v>
      </c>
      <c r="M9">
        <v>3.0533488009999998</v>
      </c>
      <c r="N9">
        <v>4.6231024950000004</v>
      </c>
      <c r="O9">
        <v>0.716739872</v>
      </c>
      <c r="P9">
        <f t="shared" si="0"/>
        <v>0.25478267666666665</v>
      </c>
      <c r="Q9">
        <f>SQRT((A9-H9)^2+(B9-I9)^2+(C9-J9)^2)</f>
        <v>1.9608721477147038</v>
      </c>
      <c r="R9">
        <f>SQRT((A8-A9)^2+(B8-B9)^2+(C8-C9)^2)</f>
        <v>0.1292250792484278</v>
      </c>
      <c r="T9">
        <f>SQRT((H8-H9)^2+(I8-I9)^2+(J8-J9)^2)</f>
        <v>4.0497212801902764E-2</v>
      </c>
      <c r="U9">
        <f>SQRT((A6-H9)^2+(B6-I9)^2+(C6-J9)^2)</f>
        <v>2.1975403727955087</v>
      </c>
      <c r="X9">
        <f t="shared" si="1"/>
        <v>2.6719744445717741</v>
      </c>
      <c r="Y9">
        <f t="shared" si="2"/>
        <v>3.0985313955314009</v>
      </c>
      <c r="Z9">
        <f t="shared" si="3"/>
        <v>3.6709577260000001</v>
      </c>
      <c r="AA9">
        <f t="shared" si="4"/>
        <v>4.2645848960000006</v>
      </c>
      <c r="AB9">
        <f t="shared" si="5"/>
        <v>2.0916029740000002</v>
      </c>
      <c r="AC9">
        <f t="shared" si="6"/>
        <v>1.7584110167394074</v>
      </c>
      <c r="AD9">
        <f t="shared" si="8"/>
        <v>1.7011960507121426</v>
      </c>
      <c r="AE9">
        <f>D9-D6</f>
        <v>11.46522045</v>
      </c>
    </row>
    <row r="10" spans="1:31" s="1" customFormat="1" x14ac:dyDescent="0.25">
      <c r="A10" s="1">
        <v>4.5298302011237697</v>
      </c>
      <c r="B10" s="1">
        <v>3.1905660817001</v>
      </c>
      <c r="C10" s="1">
        <v>1.7259819441422499</v>
      </c>
      <c r="D10" s="1">
        <v>19.108700751806602</v>
      </c>
      <c r="F10" s="1">
        <v>81</v>
      </c>
      <c r="G10" s="1">
        <v>4452</v>
      </c>
      <c r="H10" s="1">
        <v>4.2089771320000002</v>
      </c>
      <c r="I10" s="1">
        <v>3.8496205780000001</v>
      </c>
      <c r="J10" s="1">
        <v>3.4293840489999998</v>
      </c>
      <c r="K10" s="1">
        <v>45.860881810000002</v>
      </c>
      <c r="L10" s="1">
        <v>12</v>
      </c>
      <c r="Q10">
        <f>SQRT((A10-H10)^2+(B10-I10)^2+(C10-J10)^2)</f>
        <v>1.8544212714194879</v>
      </c>
      <c r="R10">
        <f>SQRT((A9-A10)^2+(B9-B10)^2+(C9-C10)^2)</f>
        <v>0.52235331563599441</v>
      </c>
      <c r="AD10">
        <f t="shared" si="8"/>
        <v>1.6712419762501449</v>
      </c>
      <c r="AE10">
        <f>D10-D6</f>
        <v>15.286960601806602</v>
      </c>
    </row>
    <row r="11" spans="1:31" x14ac:dyDescent="0.25">
      <c r="T11" t="s">
        <v>24</v>
      </c>
    </row>
    <row r="19" spans="31:31" x14ac:dyDescent="0.25">
      <c r="AE19" t="s">
        <v>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231107_WT_1_Cell 4_Kar9_8_12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Shannon</cp:lastModifiedBy>
  <dcterms:created xsi:type="dcterms:W3CDTF">2024-05-27T00:07:12Z</dcterms:created>
  <dcterms:modified xsi:type="dcterms:W3CDTF">2024-06-17T18:21:08Z</dcterms:modified>
</cp:coreProperties>
</file>