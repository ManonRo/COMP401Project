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8_{6FFA6559-27A4-4C70-A78B-CFB0D9324086}" xr6:coauthVersionLast="45" xr6:coauthVersionMax="45" xr10:uidLastSave="{00000000-0000-0000-0000-000000000000}"/>
  <bookViews>
    <workbookView xWindow="29175" yWindow="1320" windowWidth="27285" windowHeight="14550"/>
  </bookViews>
  <sheets>
    <sheet name="231107_WT_1_Cell 3_Kar9_3_6" sheetId="1" r:id="rId1"/>
  </sheets>
  <calcPr calcId="0"/>
</workbook>
</file>

<file path=xl/calcChain.xml><?xml version="1.0" encoding="utf-8"?>
<calcChain xmlns="http://schemas.openxmlformats.org/spreadsheetml/2006/main">
  <c r="L5" i="1" l="1"/>
  <c r="J10" i="1"/>
  <c r="J11" i="1"/>
  <c r="J12" i="1"/>
  <c r="J9" i="1"/>
  <c r="J6" i="1"/>
  <c r="J7" i="1"/>
  <c r="J8" i="1"/>
  <c r="J5" i="1"/>
</calcChain>
</file>

<file path=xl/sharedStrings.xml><?xml version="1.0" encoding="utf-8"?>
<sst xmlns="http://schemas.openxmlformats.org/spreadsheetml/2006/main" count="30" uniqueCount="21">
  <si>
    <t>TRACK_ID</t>
  </si>
  <si>
    <t>POSITION_X</t>
  </si>
  <si>
    <t>POSITION_Y</t>
  </si>
  <si>
    <t>POSITION_Z</t>
  </si>
  <si>
    <t>POSITION_T</t>
  </si>
  <si>
    <t>FRAME</t>
  </si>
  <si>
    <t>MAX_INTENSITY_CH2</t>
  </si>
  <si>
    <t>TOTAL_INTENSITY_CH2</t>
  </si>
  <si>
    <t>Track ID</t>
  </si>
  <si>
    <t>X</t>
  </si>
  <si>
    <t>Y</t>
  </si>
  <si>
    <t>Z</t>
  </si>
  <si>
    <t>T</t>
  </si>
  <si>
    <t>Frame</t>
  </si>
  <si>
    <t>Max intensity ch2</t>
  </si>
  <si>
    <t>Sum intensity ch2</t>
  </si>
  <si>
    <t>Max ch2</t>
  </si>
  <si>
    <t>Sum ch2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</si>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</sst>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'231107_WT_1_Cell 3_Kar9_3_6'!$E$5:$E$8</c:f>
              <c:numCache>
                <c:formatCode>General</c:formatCode>
                <c:ptCount val="4"/>
                <c:pt idx="0">
                  <c:v>0</c:v>
                </c:pt>
                <c:pt idx="1">
                  <c:v>3.8217401504516602</c:v>
                </c:pt>
                <c:pt idx="2">
                  <c:v>7.6434803009033203</c:v>
                </c:pt>
                <c:pt idx="3">
                  <c:v>11.465220451354901</c:v>
                </c:pt>
              </c:numCache>
            </c:numRef>
          </c:xVal>
          <c:yVal>
            <c:numRef>
              <c:f>'231107_WT_1_Cell 3_Kar9_3_6'!$J$5:$J$8</c:f>
              <c:numCache>
                <c:formatCode>General</c:formatCode>
                <c:ptCount val="4"/>
                <c:pt idx="0">
                  <c:v>1.2090262198795467</c:v>
                </c:pt>
                <c:pt idx="1">
                  <c:v>1.4043445482484487</c:v>
                </c:pt>
                <c:pt idx="2">
                  <c:v>1.460775743143427</c:v>
                </c:pt>
                <c:pt idx="3">
                  <c:v>1.5889702353161343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77-4E8D-994C-A012A0338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898048"/>
        <c:axId val="589898376"/>
      </c:scatterChart>
      <c:valAx>
        <c:axId val="58989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98376"/>
        <c:crosses val="autoZero"/>
        <c:crossBetween val="midCat"/>
      </c:valAx>
      <c:valAx>
        <c:axId val="58989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9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'231107_WT_1_Cell 3_Kar9_3_6'!$E$9:$E$12</c:f>
              <c:numCache>
                <c:formatCode>General</c:formatCode>
                <c:ptCount val="4"/>
                <c:pt idx="0">
                  <c:v>0</c:v>
                </c:pt>
                <c:pt idx="1">
                  <c:v>3.8217401504516602</c:v>
                </c:pt>
                <c:pt idx="2">
                  <c:v>7.6434803009033203</c:v>
                </c:pt>
                <c:pt idx="3">
                  <c:v>11.465220451354901</c:v>
                </c:pt>
              </c:numCache>
            </c:numRef>
          </c:xVal>
          <c:yVal>
            <c:numRef>
              <c:f>'231107_WT_1_Cell 3_Kar9_3_6'!$J$9:$J$12</c:f>
              <c:numCache>
                <c:formatCode>General</c:formatCode>
                <c:ptCount val="4"/>
                <c:pt idx="0">
                  <c:v>1.0004981874157333</c:v>
                </c:pt>
                <c:pt idx="1">
                  <c:v>1.3670946635219263</c:v>
                </c:pt>
                <c:pt idx="2">
                  <c:v>1.1917909346677136</c:v>
                </c:pt>
                <c:pt idx="3">
                  <c:v>1.1343854707639798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78-4AC0-873F-DD07D1744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632624"/>
        <c:axId val="488631968"/>
      </c:scatterChart>
      <c:valAx>
        <c:axId val="48863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31968"/>
        <c:crosses val="autoZero"/>
        <c:crossBetween val="midCat"/>
      </c:valAx>
      <c:valAx>
        <c:axId val="48863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32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'231107_WT_1_Cell 3_Kar9_3_6'!$E$5:$E$8</c:f>
              <c:numCache>
                <c:formatCode>General</c:formatCode>
                <c:ptCount val="4"/>
                <c:pt idx="0">
                  <c:v>0</c:v>
                </c:pt>
                <c:pt idx="1">
                  <c:v>3.8217401504516602</c:v>
                </c:pt>
                <c:pt idx="2">
                  <c:v>7.6434803009033203</c:v>
                </c:pt>
                <c:pt idx="3">
                  <c:v>11.465220451354901</c:v>
                </c:pt>
              </c:numCache>
            </c:numRef>
          </c:xVal>
          <c:yVal>
            <c:numRef>
              <c:f>'231107_WT_1_Cell 3_Kar9_3_6'!$H$5:$H$8</c:f>
              <c:numCache>
                <c:formatCode>General</c:formatCode>
                <c:ptCount val="4"/>
                <c:pt idx="0">
                  <c:v>4753</c:v>
                </c:pt>
                <c:pt idx="1">
                  <c:v>10497</c:v>
                </c:pt>
                <c:pt idx="2">
                  <c:v>5704</c:v>
                </c:pt>
                <c:pt idx="3">
                  <c:v>7866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DE-456B-9A84-74EEE49FA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636232"/>
        <c:axId val="488636560"/>
      </c:scatterChart>
      <c:valAx>
        <c:axId val="488636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36560"/>
        <c:crosses val="autoZero"/>
        <c:crossBetween val="midCat"/>
      </c:valAx>
      <c:valAx>
        <c:axId val="48863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36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'231107_WT_1_Cell 3_Kar9_3_6'!$E$9:$E$12</c:f>
              <c:numCache>
                <c:formatCode>General</c:formatCode>
                <c:ptCount val="4"/>
                <c:pt idx="0">
                  <c:v>0</c:v>
                </c:pt>
                <c:pt idx="1">
                  <c:v>3.8217401504516602</c:v>
                </c:pt>
                <c:pt idx="2">
                  <c:v>7.6434803009033203</c:v>
                </c:pt>
                <c:pt idx="3">
                  <c:v>11.465220451354901</c:v>
                </c:pt>
              </c:numCache>
            </c:numRef>
          </c:xVal>
          <c:yVal>
            <c:numRef>
              <c:f>'231107_WT_1_Cell 3_Kar9_3_6'!$H$9:$H$12</c:f>
              <c:numCache>
                <c:formatCode>General</c:formatCode>
                <c:ptCount val="4"/>
                <c:pt idx="0">
                  <c:v>1198</c:v>
                </c:pt>
                <c:pt idx="1">
                  <c:v>1084</c:v>
                </c:pt>
                <c:pt idx="2">
                  <c:v>3600</c:v>
                </c:pt>
                <c:pt idx="3">
                  <c:v>1022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EE-499C-A04B-8FBA7F04A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641152"/>
        <c:axId val="488639184"/>
      </c:scatterChart>
      <c:valAx>
        <c:axId val="48864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39184"/>
        <c:crosses val="autoZero"/>
        <c:crossBetween val="midCat"/>
      </c:valAx>
      <c:valAx>
        <c:axId val="48863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4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309562</xdr:colOff>
      <xdr:row>2</xdr:row>
      <xdr:rowOff>128587</xdr:rowOff>
    </xdr:from>
    <xdr:to>
      <xdr:col>17</xdr:col>
      <xdr:colOff>95250</xdr:colOff>
      <xdr:row>13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877E40-85EE-4B94-9060-B7B2A44C5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61912</xdr:colOff>
      <xdr:row>3</xdr:row>
      <xdr:rowOff>185737</xdr:rowOff>
    </xdr:from>
    <xdr:to>
      <xdr:col>21</xdr:col>
      <xdr:colOff>133350</xdr:colOff>
      <xdr:row>13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4AABD5-318F-46D0-8CC8-AF927452C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185737</xdr:colOff>
      <xdr:row>14</xdr:row>
      <xdr:rowOff>33337</xdr:rowOff>
    </xdr:from>
    <xdr:to>
      <xdr:col>17</xdr:col>
      <xdr:colOff>9525</xdr:colOff>
      <xdr:row>24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5B8F9C-46BA-4551-A7E0-57ECEBA3D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100012</xdr:colOff>
      <xdr:row>18</xdr:row>
      <xdr:rowOff>85725</xdr:rowOff>
    </xdr:from>
    <xdr:to>
      <xdr:col>21</xdr:col>
      <xdr:colOff>66675</xdr:colOff>
      <xdr:row>24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390B78-3B87-4FE6-BF26-BA8AC6230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M12" sqref="M1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12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16</v>
      </c>
      <c r="H3" t="s">
        <v>17</v>
      </c>
    </row>
    <row r="4" spans="1:12" x14ac:dyDescent="0.25">
      <c r="B4" t="s">
        <v>18</v>
      </c>
      <c r="C4" t="s">
        <v>18</v>
      </c>
      <c r="D4" t="s">
        <v>18</v>
      </c>
      <c r="E4" t="s">
        <v>19</v>
      </c>
      <c r="G4" t="s">
        <v>20</v>
      </c>
      <c r="H4" t="s">
        <v>20</v>
      </c>
    </row>
    <row r="5" spans="1:12" x14ac:dyDescent="0.25">
      <c r="A5">
        <v>3</v>
      </c>
      <c r="B5">
        <v>3.4450163876217199</v>
      </c>
      <c r="C5">
        <v>6.0014220778129603</v>
      </c>
      <c r="D5">
        <v>0.98916376497719904</v>
      </c>
      <c r="E5">
        <v>0</v>
      </c>
      <c r="F5">
        <v>0</v>
      </c>
      <c r="G5">
        <v>88</v>
      </c>
      <c r="H5">
        <v>4753</v>
      </c>
      <c r="J5">
        <f>SQRT((B5-B15)^2+(C5-C15)^2+(D5-D15)^2)</f>
        <v>1.2090262198795467</v>
      </c>
      <c r="L5">
        <f>(J6-J11)/(E11-E6)*60</f>
        <v>3.3370182986765617</v>
      </c>
    </row>
    <row r="6" spans="1:12" x14ac:dyDescent="0.25">
      <c r="A6">
        <v>3</v>
      </c>
      <c r="B6">
        <v>4.0454291573173</v>
      </c>
      <c r="C6">
        <v>6.6864785885367501</v>
      </c>
      <c r="D6">
        <v>0.66705736179270703</v>
      </c>
      <c r="E6">
        <v>3.8217401504516602</v>
      </c>
      <c r="F6">
        <v>1</v>
      </c>
      <c r="G6">
        <v>191</v>
      </c>
      <c r="H6">
        <v>10497</v>
      </c>
      <c r="J6">
        <f t="shared" ref="J6:J9" si="0">SQRT((B6-B16)^2+(C6-C16)^2+(D6-D16)^2)</f>
        <v>1.4043445482484487</v>
      </c>
    </row>
    <row r="7" spans="1:12" x14ac:dyDescent="0.25">
      <c r="A7">
        <v>3</v>
      </c>
      <c r="B7">
        <v>4.5549656304826698</v>
      </c>
      <c r="C7">
        <v>7.4775410848550896</v>
      </c>
      <c r="D7">
        <v>2.0432347510704298</v>
      </c>
      <c r="E7">
        <v>7.6434803009033203</v>
      </c>
      <c r="F7">
        <v>2</v>
      </c>
      <c r="G7">
        <v>98</v>
      </c>
      <c r="H7">
        <v>5704</v>
      </c>
      <c r="J7">
        <f t="shared" si="0"/>
        <v>1.460775743143427</v>
      </c>
    </row>
    <row r="8" spans="1:12" x14ac:dyDescent="0.25">
      <c r="A8">
        <v>3</v>
      </c>
      <c r="B8">
        <v>4.0760403848972802</v>
      </c>
      <c r="C8">
        <v>7.4464541037741601</v>
      </c>
      <c r="D8">
        <v>1.9912708689021501</v>
      </c>
      <c r="E8">
        <v>11.465220451354901</v>
      </c>
      <c r="F8">
        <v>3</v>
      </c>
      <c r="G8">
        <v>136</v>
      </c>
      <c r="H8">
        <v>7866</v>
      </c>
      <c r="J8">
        <f t="shared" si="0"/>
        <v>1.5889702353161343</v>
      </c>
    </row>
    <row r="9" spans="1:12" x14ac:dyDescent="0.25">
      <c r="A9">
        <v>6</v>
      </c>
      <c r="B9">
        <v>3.4976941614237398</v>
      </c>
      <c r="C9">
        <v>6.2047682504634203</v>
      </c>
      <c r="D9">
        <v>1.4717295162216699</v>
      </c>
      <c r="E9">
        <v>0</v>
      </c>
      <c r="F9">
        <v>0</v>
      </c>
      <c r="G9">
        <v>24</v>
      </c>
      <c r="H9">
        <v>1198</v>
      </c>
      <c r="J9">
        <f>SQRT((B9-B15)^2+(C9-C15)^2+(D9-D15)^2)</f>
        <v>1.0004981874157333</v>
      </c>
    </row>
    <row r="10" spans="1:12" x14ac:dyDescent="0.25">
      <c r="A10">
        <v>6</v>
      </c>
      <c r="B10">
        <v>3.9342996852748202</v>
      </c>
      <c r="C10">
        <v>7.1068806376705904</v>
      </c>
      <c r="D10">
        <v>1.4973256427030299</v>
      </c>
      <c r="E10">
        <v>3.8217401504516602</v>
      </c>
      <c r="F10">
        <v>1</v>
      </c>
      <c r="G10">
        <v>19</v>
      </c>
      <c r="H10">
        <v>1084</v>
      </c>
      <c r="J10">
        <f t="shared" ref="J10:J12" si="1">SQRT((B10-B16)^2+(C10-C16)^2+(D10-D16)^2)</f>
        <v>1.3670946635219263</v>
      </c>
    </row>
    <row r="11" spans="1:12" x14ac:dyDescent="0.25">
      <c r="A11">
        <v>6</v>
      </c>
      <c r="B11">
        <v>4.5224676954453997</v>
      </c>
      <c r="C11">
        <v>7.2070469043393999</v>
      </c>
      <c r="D11">
        <v>2.04087144948446</v>
      </c>
      <c r="E11">
        <v>7.6434803009033203</v>
      </c>
      <c r="F11">
        <v>2</v>
      </c>
      <c r="G11">
        <v>59</v>
      </c>
      <c r="H11">
        <v>3600</v>
      </c>
      <c r="J11">
        <f t="shared" si="1"/>
        <v>1.1917909346677136</v>
      </c>
    </row>
    <row r="12" spans="1:12" x14ac:dyDescent="0.25">
      <c r="A12">
        <v>6</v>
      </c>
      <c r="B12">
        <v>4.1830014852114799</v>
      </c>
      <c r="C12">
        <v>6.9980693389413497</v>
      </c>
      <c r="D12">
        <v>1.9730632060833999</v>
      </c>
      <c r="E12">
        <v>11.465220451354901</v>
      </c>
      <c r="F12">
        <v>3</v>
      </c>
      <c r="G12">
        <v>18</v>
      </c>
      <c r="H12">
        <v>1022</v>
      </c>
      <c r="J12">
        <f t="shared" si="1"/>
        <v>1.1343854707639798</v>
      </c>
    </row>
    <row r="15" spans="1:12" x14ac:dyDescent="0.25">
      <c r="B15">
        <v>4.3497813570000003</v>
      </c>
      <c r="C15">
        <v>5.7635394849999999</v>
      </c>
      <c r="D15">
        <v>1.7550336120000001</v>
      </c>
      <c r="E15">
        <v>7.6434803010000003</v>
      </c>
      <c r="F15">
        <v>2</v>
      </c>
    </row>
    <row r="16" spans="1:12" x14ac:dyDescent="0.25">
      <c r="B16">
        <v>4.4220785319999996</v>
      </c>
      <c r="C16">
        <v>5.8514154100000004</v>
      </c>
      <c r="D16">
        <v>1.7314766150000001</v>
      </c>
      <c r="E16">
        <v>11.46522045</v>
      </c>
      <c r="F16">
        <v>3</v>
      </c>
    </row>
    <row r="17" spans="2:6" x14ac:dyDescent="0.25">
      <c r="B17">
        <v>4.3812137719999997</v>
      </c>
      <c r="C17">
        <v>6.0442657549999996</v>
      </c>
      <c r="D17">
        <v>1.8209783850000001</v>
      </c>
      <c r="E17">
        <v>15.2869606</v>
      </c>
      <c r="F17">
        <v>4</v>
      </c>
    </row>
    <row r="18" spans="2:6" x14ac:dyDescent="0.25">
      <c r="B18">
        <v>4.4318543750000003</v>
      </c>
      <c r="C18">
        <v>5.9252969770000004</v>
      </c>
      <c r="D18">
        <v>1.7009196870000001</v>
      </c>
      <c r="E18">
        <v>19.108700750000001</v>
      </c>
      <c r="F18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231107_WT_1_Cell 3_Kar9_3_6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2024-06-18T12:49:59Z</dcterms:created>
  <dcterms:modified xsi:type="dcterms:W3CDTF">2024-06-18T12:50:00Z</dcterms:modified>
</cp:coreProperties>
</file>