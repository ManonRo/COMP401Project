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FDBA3D94-CB89-4971-80BB-0FD710494B4B}" xr6:coauthVersionLast="45" xr6:coauthVersionMax="45" xr10:uidLastSave="{00000000-0000-0000-0000-000000000000}"/>
  <bookViews>
    <workbookView xWindow="30105" yWindow="1590" windowWidth="23790" windowHeight="13980" xr2:uid="{00000000-000D-0000-FFFF-FFFF00000000}"/>
  </bookViews>
  <sheets>
    <sheet name="231107_WT_10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8" i="1" l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7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<sst xmlns="http://schemas.openxmlformats.org/spreadsheetml/2006/main" count="46" uniqueCount="33">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</sst>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'231107_WT_10_Cell 1_SPB'!$Y$7:$Y$24</c:f>
              <c:numCache>
                <c:formatCode>General</c:formatCode>
                <c:ptCount val="18"/>
                <c:pt idx="0">
                  <c:v>0.1274192253748575</c:v>
                </c:pt>
                <c:pt idx="1">
                  <c:v>0.19112883806228498</c:v>
                </c:pt>
                <c:pt idx="2">
                  <c:v>0.25483845074971501</c:v>
                </c:pt>
                <c:pt idx="3">
                  <c:v>0.31854806343714331</c:v>
                </c:pt>
                <c:pt idx="4">
                  <c:v>0.38225767612457168</c:v>
                </c:pt>
                <c:pt idx="5">
                  <c:v>0.44596728881199998</c:v>
                </c:pt>
                <c:pt idx="6">
                  <c:v>0.50967690149943001</c:v>
                </c:pt>
                <c:pt idx="7">
                  <c:v>0.57338651418685826</c:v>
                </c:pt>
                <c:pt idx="8">
                  <c:v>0.63709612687428663</c:v>
                </c:pt>
                <c:pt idx="9">
                  <c:v>0.70080573956171677</c:v>
                </c:pt>
                <c:pt idx="10">
                  <c:v>0.76451535224914502</c:v>
                </c:pt>
                <c:pt idx="11">
                  <c:v>0.82822496493657338</c:v>
                </c:pt>
                <c:pt idx="12">
                  <c:v>0.89193457762400163</c:v>
                </c:pt>
                <c:pt idx="13">
                  <c:v>0.95564419031143166</c:v>
                </c:pt>
                <c:pt idx="14">
                  <c:v>1.01935380299886</c:v>
                </c:pt>
                <c:pt idx="15">
                  <c:v>1.0830634156862884</c:v>
                </c:pt>
                <c:pt idx="16">
                  <c:v>1.1467730283737183</c:v>
                </c:pt>
                <c:pt idx="17">
                  <c:v>1.2104826410611467</c:v>
                </c:pt>
              </c:numCache>
            </c:numRef>
          </c:xVal>
          <c:yVal>
            <c:numRef>
              <c:f>'231107_WT_10_Cell 1_SPB'!$Z$7:$Z$24</c:f>
              <c:numCache>
                <c:formatCode>General</c:formatCode>
                <c:ptCount val="18"/>
                <c:pt idx="0">
                  <c:v>4.3430835281770861</c:v>
                </c:pt>
                <c:pt idx="1">
                  <c:v>4.5739450462144626</c:v>
                </c:pt>
                <c:pt idx="2">
                  <c:v>4.7505358886529496</c:v>
                </c:pt>
                <c:pt idx="3">
                  <c:v>4.809004383913388</c:v>
                </c:pt>
                <c:pt idx="4">
                  <c:v>4.9772921999671231</c:v>
                </c:pt>
                <c:pt idx="5">
                  <c:v>4.8863239152442137</c:v>
                </c:pt>
                <c:pt idx="6">
                  <c:v>4.978486453566501</c:v>
                </c:pt>
                <c:pt idx="7">
                  <c:v>5.0740514599319573</c:v>
                </c:pt>
                <c:pt idx="8">
                  <c:v>5.1566077899780272</c:v>
                </c:pt>
                <c:pt idx="9">
                  <c:v>5.2284818351323619</c:v>
                </c:pt>
                <c:pt idx="10">
                  <c:v>5.1627452459051009</c:v>
                </c:pt>
                <c:pt idx="11">
                  <c:v>4.9923233722971405</c:v>
                </c:pt>
                <c:pt idx="12">
                  <c:v>4.9833266773605933</c:v>
                </c:pt>
                <c:pt idx="13">
                  <c:v>5.1237866804232564</c:v>
                </c:pt>
                <c:pt idx="14">
                  <c:v>5.1445793354534102</c:v>
                </c:pt>
                <c:pt idx="15">
                  <c:v>5.3733778856909744</c:v>
                </c:pt>
                <c:pt idx="16">
                  <c:v>5.2802762985153784</c:v>
                </c:pt>
                <c:pt idx="17">
                  <c:v>5.461146889046061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1A-4F08-A114-E3443F7BE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176440"/>
        <c:axId val="581176768"/>
      </c:scatterChart>
      <c:valAx>
        <c:axId val="58117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76768"/>
        <c:crosses val="autoZero"/>
        <c:crossBetween val="midCat"/>
      </c:valAx>
      <c:valAx>
        <c:axId val="58117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7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12</xdr:col>
      <xdr:colOff>266700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0E243-70D5-42DD-9271-5BD7B7AEA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D1" workbookViewId="0">
      <selection activeCell="AA20" sqref="AA2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3.7654462825713799</v>
      </c>
      <c r="C5">
        <v>6.5095221650570201</v>
      </c>
      <c r="D5">
        <v>1.35106075853672</v>
      </c>
      <c r="E5">
        <v>0</v>
      </c>
      <c r="F5">
        <v>0</v>
      </c>
      <c r="G5">
        <v>55.970370370370297</v>
      </c>
      <c r="H5">
        <v>52</v>
      </c>
      <c r="I5">
        <v>19</v>
      </c>
      <c r="J5">
        <v>101</v>
      </c>
      <c r="K5">
        <v>7556</v>
      </c>
      <c r="L5">
        <v>21.103844433225898</v>
      </c>
    </row>
    <row r="6" spans="1:26" x14ac:dyDescent="0.25">
      <c r="A6">
        <v>0</v>
      </c>
      <c r="B6">
        <v>3.7534532379667098</v>
      </c>
      <c r="C6">
        <v>6.4267301121997802</v>
      </c>
      <c r="D6">
        <v>1.2439562664149699</v>
      </c>
      <c r="E6">
        <v>3.82257676124572</v>
      </c>
      <c r="F6">
        <v>1</v>
      </c>
      <c r="G6">
        <v>39.474074074073997</v>
      </c>
      <c r="H6">
        <v>38</v>
      </c>
      <c r="I6">
        <v>13</v>
      </c>
      <c r="J6">
        <v>70</v>
      </c>
      <c r="K6">
        <v>5329</v>
      </c>
      <c r="L6">
        <v>14.979503224744899</v>
      </c>
    </row>
    <row r="7" spans="1:26" x14ac:dyDescent="0.25">
      <c r="A7">
        <v>0</v>
      </c>
      <c r="B7">
        <v>3.8931826531192701</v>
      </c>
      <c r="C7">
        <v>6.4720973270228797</v>
      </c>
      <c r="D7">
        <v>1.2465114709360301</v>
      </c>
      <c r="E7">
        <v>7.6451535224914497</v>
      </c>
      <c r="F7">
        <v>2</v>
      </c>
      <c r="G7">
        <v>37.0592592592592</v>
      </c>
      <c r="H7">
        <v>36</v>
      </c>
      <c r="I7">
        <v>16</v>
      </c>
      <c r="J7">
        <v>62</v>
      </c>
      <c r="K7">
        <v>5003</v>
      </c>
      <c r="L7">
        <v>12.375808710474301</v>
      </c>
      <c r="M7">
        <v>3</v>
      </c>
      <c r="N7">
        <v>3.4122711797703098</v>
      </c>
      <c r="O7">
        <v>2.4552541503199601</v>
      </c>
      <c r="P7">
        <v>2.8264069045960101</v>
      </c>
      <c r="Q7">
        <v>7.6451535224914497</v>
      </c>
      <c r="R7">
        <v>2</v>
      </c>
      <c r="S7">
        <v>122.177777777777</v>
      </c>
      <c r="T7">
        <v>119</v>
      </c>
      <c r="U7">
        <v>41</v>
      </c>
      <c r="V7">
        <v>210</v>
      </c>
      <c r="W7">
        <v>16494</v>
      </c>
      <c r="X7">
        <v>45.228584718316</v>
      </c>
      <c r="Y7">
        <f>E7/60</f>
        <v>0.1274192253748575</v>
      </c>
      <c r="Z7">
        <f>SQRT((B7-N7)^2+(C7-O7)^2+(D7-P7)^2)</f>
        <v>4.3430835281770861</v>
      </c>
    </row>
    <row r="8" spans="1:26" x14ac:dyDescent="0.25">
      <c r="A8">
        <v>0</v>
      </c>
      <c r="B8">
        <v>3.9370367626991598</v>
      </c>
      <c r="C8">
        <v>6.4947949755451999</v>
      </c>
      <c r="D8">
        <v>1.0845879271268399</v>
      </c>
      <c r="E8">
        <v>11.467730283737099</v>
      </c>
      <c r="F8">
        <v>3</v>
      </c>
      <c r="G8">
        <v>21.762962962962899</v>
      </c>
      <c r="H8">
        <v>21</v>
      </c>
      <c r="I8">
        <v>7</v>
      </c>
      <c r="J8">
        <v>37</v>
      </c>
      <c r="K8">
        <v>2938</v>
      </c>
      <c r="L8">
        <v>7.5233044972484997</v>
      </c>
      <c r="M8">
        <v>3</v>
      </c>
      <c r="N8">
        <v>3.4609008716873402</v>
      </c>
      <c r="O8">
        <v>2.3460297005150901</v>
      </c>
      <c r="P8">
        <v>2.9506036268958802</v>
      </c>
      <c r="Q8">
        <v>11.467730283737099</v>
      </c>
      <c r="R8">
        <v>3</v>
      </c>
      <c r="S8">
        <v>62</v>
      </c>
      <c r="T8">
        <v>61</v>
      </c>
      <c r="U8">
        <v>22</v>
      </c>
      <c r="V8">
        <v>111</v>
      </c>
      <c r="W8">
        <v>8370</v>
      </c>
      <c r="X8">
        <v>22.9421725994311</v>
      </c>
      <c r="Y8">
        <f t="shared" ref="Y8:Y24" si="0">E8/60</f>
        <v>0.19112883806228498</v>
      </c>
      <c r="Z8">
        <f t="shared" ref="Z8:Z24" si="1">SQRT((B8-N8)^2+(C8-O8)^2+(D8-P8)^2)</f>
        <v>4.5739450462144626</v>
      </c>
    </row>
    <row r="9" spans="1:26" x14ac:dyDescent="0.25">
      <c r="A9">
        <v>0</v>
      </c>
      <c r="B9">
        <v>4.0262011712204897</v>
      </c>
      <c r="C9">
        <v>6.5726266408956402</v>
      </c>
      <c r="D9">
        <v>1.0938420675717999</v>
      </c>
      <c r="E9">
        <v>15.290307044982899</v>
      </c>
      <c r="F9">
        <v>4</v>
      </c>
      <c r="G9">
        <v>22.244444444444401</v>
      </c>
      <c r="H9">
        <v>22</v>
      </c>
      <c r="I9">
        <v>8</v>
      </c>
      <c r="J9">
        <v>42</v>
      </c>
      <c r="K9">
        <v>3003</v>
      </c>
      <c r="L9">
        <v>8.6165985832159109</v>
      </c>
      <c r="M9">
        <v>3</v>
      </c>
      <c r="N9">
        <v>3.40425276029994</v>
      </c>
      <c r="O9">
        <v>2.2987138163782701</v>
      </c>
      <c r="P9">
        <v>3.0723365891611398</v>
      </c>
      <c r="Q9">
        <v>15.290307044982899</v>
      </c>
      <c r="R9">
        <v>4</v>
      </c>
      <c r="S9">
        <v>50.940740740740701</v>
      </c>
      <c r="T9">
        <v>50</v>
      </c>
      <c r="U9">
        <v>16</v>
      </c>
      <c r="V9">
        <v>90</v>
      </c>
      <c r="W9">
        <v>6877</v>
      </c>
      <c r="X9">
        <v>18.657863358885699</v>
      </c>
      <c r="Y9">
        <f t="shared" si="0"/>
        <v>0.25483845074971501</v>
      </c>
      <c r="Z9">
        <f t="shared" si="1"/>
        <v>4.7505358886529496</v>
      </c>
    </row>
    <row r="10" spans="1:26" x14ac:dyDescent="0.25">
      <c r="A10">
        <v>0</v>
      </c>
      <c r="B10">
        <v>4.09407955089672</v>
      </c>
      <c r="C10">
        <v>6.56524358114675</v>
      </c>
      <c r="D10">
        <v>1.1845635700604</v>
      </c>
      <c r="E10">
        <v>19.112883806228599</v>
      </c>
      <c r="F10">
        <v>5</v>
      </c>
      <c r="G10">
        <v>20.429629629629598</v>
      </c>
      <c r="H10">
        <v>19</v>
      </c>
      <c r="I10">
        <v>7</v>
      </c>
      <c r="J10">
        <v>37</v>
      </c>
      <c r="K10">
        <v>2758</v>
      </c>
      <c r="L10">
        <v>7.7609246455779601</v>
      </c>
      <c r="M10">
        <v>3</v>
      </c>
      <c r="N10">
        <v>3.4516157940837502</v>
      </c>
      <c r="O10">
        <v>2.2210670024163801</v>
      </c>
      <c r="P10">
        <v>3.1446383998795202</v>
      </c>
      <c r="Q10">
        <v>19.112883806228599</v>
      </c>
      <c r="R10">
        <v>5</v>
      </c>
      <c r="S10">
        <v>41.1111111111111</v>
      </c>
      <c r="T10">
        <v>40</v>
      </c>
      <c r="U10">
        <v>16</v>
      </c>
      <c r="V10">
        <v>68</v>
      </c>
      <c r="W10">
        <v>5550</v>
      </c>
      <c r="X10">
        <v>12.7716258894745</v>
      </c>
      <c r="Y10">
        <f t="shared" si="0"/>
        <v>0.31854806343714331</v>
      </c>
      <c r="Z10">
        <f t="shared" si="1"/>
        <v>4.809004383913388</v>
      </c>
    </row>
    <row r="11" spans="1:26" x14ac:dyDescent="0.25">
      <c r="A11">
        <v>0</v>
      </c>
      <c r="B11">
        <v>4.0698223495108703</v>
      </c>
      <c r="C11">
        <v>6.6004798899055297</v>
      </c>
      <c r="D11">
        <v>1.2237999716532499</v>
      </c>
      <c r="E11">
        <v>22.935460567474301</v>
      </c>
      <c r="F11">
        <v>6</v>
      </c>
      <c r="G11">
        <v>26.459259259259198</v>
      </c>
      <c r="H11">
        <v>25</v>
      </c>
      <c r="I11">
        <v>10</v>
      </c>
      <c r="J11">
        <v>46</v>
      </c>
      <c r="K11">
        <v>3572</v>
      </c>
      <c r="L11">
        <v>9.2951302953967492</v>
      </c>
      <c r="M11">
        <v>3</v>
      </c>
      <c r="N11">
        <v>3.57032166679274</v>
      </c>
      <c r="O11">
        <v>2.09052039608624</v>
      </c>
      <c r="P11">
        <v>3.2693321947988401</v>
      </c>
      <c r="Q11">
        <v>22.935460567474301</v>
      </c>
      <c r="R11">
        <v>6</v>
      </c>
      <c r="S11">
        <v>53.903703703703698</v>
      </c>
      <c r="T11">
        <v>50</v>
      </c>
      <c r="U11">
        <v>21</v>
      </c>
      <c r="V11">
        <v>95</v>
      </c>
      <c r="W11">
        <v>7277</v>
      </c>
      <c r="X11">
        <v>19.645315447099101</v>
      </c>
      <c r="Y11">
        <f t="shared" si="0"/>
        <v>0.38225767612457168</v>
      </c>
      <c r="Z11">
        <f t="shared" si="1"/>
        <v>4.9772921999671231</v>
      </c>
    </row>
    <row r="12" spans="1:26" x14ac:dyDescent="0.25">
      <c r="A12">
        <v>0</v>
      </c>
      <c r="B12">
        <v>4.0313890749608001</v>
      </c>
      <c r="C12">
        <v>6.6058967079563304</v>
      </c>
      <c r="D12">
        <v>1.2210835582938699</v>
      </c>
      <c r="E12">
        <v>26.75803732872</v>
      </c>
      <c r="F12">
        <v>7</v>
      </c>
      <c r="G12">
        <v>22.192592592592501</v>
      </c>
      <c r="H12">
        <v>22</v>
      </c>
      <c r="I12">
        <v>8</v>
      </c>
      <c r="J12">
        <v>39</v>
      </c>
      <c r="K12">
        <v>2996</v>
      </c>
      <c r="L12">
        <v>7.8488484717683598</v>
      </c>
      <c r="M12">
        <v>3</v>
      </c>
      <c r="N12">
        <v>3.4810078181352502</v>
      </c>
      <c r="O12">
        <v>2.19367147811991</v>
      </c>
      <c r="P12">
        <v>3.2472894703417099</v>
      </c>
      <c r="Q12">
        <v>26.75803732872</v>
      </c>
      <c r="R12">
        <v>7</v>
      </c>
      <c r="S12">
        <v>60.644444444444403</v>
      </c>
      <c r="T12">
        <v>57</v>
      </c>
      <c r="U12">
        <v>22</v>
      </c>
      <c r="V12">
        <v>107</v>
      </c>
      <c r="W12">
        <v>8187</v>
      </c>
      <c r="X12">
        <v>22.375515225175</v>
      </c>
      <c r="Y12">
        <f t="shared" si="0"/>
        <v>0.44596728881199998</v>
      </c>
      <c r="Z12">
        <f t="shared" si="1"/>
        <v>4.8863239152442137</v>
      </c>
    </row>
    <row r="13" spans="1:26" x14ac:dyDescent="0.25">
      <c r="A13">
        <v>0</v>
      </c>
      <c r="B13">
        <v>3.8648066882159098</v>
      </c>
      <c r="C13">
        <v>6.66409635655641</v>
      </c>
      <c r="D13">
        <v>1.19451402375639</v>
      </c>
      <c r="E13">
        <v>30.580614089965799</v>
      </c>
      <c r="F13">
        <v>8</v>
      </c>
      <c r="G13">
        <v>23.592592592592499</v>
      </c>
      <c r="H13">
        <v>24</v>
      </c>
      <c r="I13">
        <v>8</v>
      </c>
      <c r="J13">
        <v>41</v>
      </c>
      <c r="K13">
        <v>3185</v>
      </c>
      <c r="L13">
        <v>8.3454306885598495</v>
      </c>
      <c r="M13">
        <v>3</v>
      </c>
      <c r="N13">
        <v>3.4028062785466702</v>
      </c>
      <c r="O13">
        <v>2.1449766196605098</v>
      </c>
      <c r="P13">
        <v>3.2315314005621301</v>
      </c>
      <c r="Q13">
        <v>30.580614089965799</v>
      </c>
      <c r="R13">
        <v>8</v>
      </c>
      <c r="S13">
        <v>70.325925925925901</v>
      </c>
      <c r="T13">
        <v>68</v>
      </c>
      <c r="U13">
        <v>23</v>
      </c>
      <c r="V13">
        <v>123</v>
      </c>
      <c r="W13">
        <v>9494</v>
      </c>
      <c r="X13">
        <v>26.426984634273801</v>
      </c>
      <c r="Y13">
        <f t="shared" si="0"/>
        <v>0.50967690149943001</v>
      </c>
      <c r="Z13">
        <f t="shared" si="1"/>
        <v>4.978486453566501</v>
      </c>
    </row>
    <row r="14" spans="1:26" x14ac:dyDescent="0.25">
      <c r="A14">
        <v>0</v>
      </c>
      <c r="B14">
        <v>3.80850198002469</v>
      </c>
      <c r="C14">
        <v>6.6684852529509797</v>
      </c>
      <c r="D14">
        <v>1.2137747242963099</v>
      </c>
      <c r="E14">
        <v>34.403190851211498</v>
      </c>
      <c r="F14">
        <v>9</v>
      </c>
      <c r="G14">
        <v>15.325925925925899</v>
      </c>
      <c r="H14">
        <v>15</v>
      </c>
      <c r="I14">
        <v>5</v>
      </c>
      <c r="J14">
        <v>28</v>
      </c>
      <c r="K14">
        <v>2069</v>
      </c>
      <c r="L14">
        <v>5.9460630768496703</v>
      </c>
      <c r="M14">
        <v>3</v>
      </c>
      <c r="N14">
        <v>3.3494182623931699</v>
      </c>
      <c r="O14">
        <v>2.0659963113826998</v>
      </c>
      <c r="P14">
        <v>3.3</v>
      </c>
      <c r="Q14">
        <v>34.403190851211498</v>
      </c>
      <c r="R14">
        <v>9</v>
      </c>
      <c r="S14">
        <v>39.229629629629599</v>
      </c>
      <c r="T14">
        <v>37</v>
      </c>
      <c r="U14">
        <v>12</v>
      </c>
      <c r="V14">
        <v>69</v>
      </c>
      <c r="W14">
        <v>5296</v>
      </c>
      <c r="X14">
        <v>15.1144591940126</v>
      </c>
      <c r="Y14">
        <f t="shared" si="0"/>
        <v>0.57338651418685826</v>
      </c>
      <c r="Z14">
        <f t="shared" si="1"/>
        <v>5.0740514599319573</v>
      </c>
    </row>
    <row r="15" spans="1:26" x14ac:dyDescent="0.25">
      <c r="A15">
        <v>0</v>
      </c>
      <c r="B15">
        <v>3.9168815547987901</v>
      </c>
      <c r="C15">
        <v>6.7028012826487204</v>
      </c>
      <c r="D15">
        <v>1.3367667623816299</v>
      </c>
      <c r="E15">
        <v>38.225767612457197</v>
      </c>
      <c r="F15">
        <v>10</v>
      </c>
      <c r="G15">
        <v>26.9481481481481</v>
      </c>
      <c r="H15">
        <v>25</v>
      </c>
      <c r="I15">
        <v>9</v>
      </c>
      <c r="J15">
        <v>48</v>
      </c>
      <c r="K15">
        <v>3638</v>
      </c>
      <c r="L15">
        <v>10.1152452685814</v>
      </c>
      <c r="M15">
        <v>3</v>
      </c>
      <c r="N15">
        <v>3.2489986489780698</v>
      </c>
      <c r="O15">
        <v>2.0142317875722999</v>
      </c>
      <c r="P15">
        <v>3.3768286275252799</v>
      </c>
      <c r="Q15">
        <v>38.225767612457197</v>
      </c>
      <c r="R15">
        <v>10</v>
      </c>
      <c r="S15">
        <v>42.133333333333297</v>
      </c>
      <c r="T15">
        <v>41</v>
      </c>
      <c r="U15">
        <v>14</v>
      </c>
      <c r="V15">
        <v>74</v>
      </c>
      <c r="W15">
        <v>5688</v>
      </c>
      <c r="X15">
        <v>15.821202475197399</v>
      </c>
      <c r="Y15">
        <f t="shared" si="0"/>
        <v>0.63709612687428663</v>
      </c>
      <c r="Z15">
        <f t="shared" si="1"/>
        <v>5.1566077899780272</v>
      </c>
    </row>
    <row r="16" spans="1:26" x14ac:dyDescent="0.25">
      <c r="A16">
        <v>0</v>
      </c>
      <c r="B16">
        <v>3.9229385768699201</v>
      </c>
      <c r="C16">
        <v>6.6690307451642701</v>
      </c>
      <c r="D16">
        <v>1.2702545472937301</v>
      </c>
      <c r="E16">
        <v>42.048344373703003</v>
      </c>
      <c r="F16">
        <v>11</v>
      </c>
      <c r="G16">
        <v>15.0444444444444</v>
      </c>
      <c r="H16">
        <v>14</v>
      </c>
      <c r="I16">
        <v>4</v>
      </c>
      <c r="J16">
        <v>28</v>
      </c>
      <c r="K16">
        <v>2031</v>
      </c>
      <c r="L16">
        <v>5.8868265107916304</v>
      </c>
      <c r="M16">
        <v>3</v>
      </c>
      <c r="N16">
        <v>3.28807272259573</v>
      </c>
      <c r="O16">
        <v>1.9408282286049701</v>
      </c>
      <c r="P16">
        <v>3.4098967159256901</v>
      </c>
      <c r="Q16">
        <v>42.048344373703003</v>
      </c>
      <c r="R16">
        <v>11</v>
      </c>
      <c r="S16">
        <v>36.296296296296298</v>
      </c>
      <c r="T16">
        <v>32</v>
      </c>
      <c r="U16">
        <v>14</v>
      </c>
      <c r="V16">
        <v>65</v>
      </c>
      <c r="W16">
        <v>4900</v>
      </c>
      <c r="X16">
        <v>13.8645225731075</v>
      </c>
      <c r="Y16">
        <f t="shared" si="0"/>
        <v>0.70080573956171677</v>
      </c>
      <c r="Z16">
        <f t="shared" si="1"/>
        <v>5.2284818351323619</v>
      </c>
    </row>
    <row r="17" spans="1:26" x14ac:dyDescent="0.25">
      <c r="A17">
        <v>0</v>
      </c>
      <c r="B17">
        <v>3.9425073855242401</v>
      </c>
      <c r="C17">
        <v>6.6750802590760996</v>
      </c>
      <c r="D17">
        <v>1.23710665397324</v>
      </c>
      <c r="E17">
        <v>45.870921134948702</v>
      </c>
      <c r="F17">
        <v>12</v>
      </c>
      <c r="G17">
        <v>21.570370370370298</v>
      </c>
      <c r="H17">
        <v>21</v>
      </c>
      <c r="I17">
        <v>10</v>
      </c>
      <c r="J17">
        <v>32</v>
      </c>
      <c r="K17">
        <v>2912</v>
      </c>
      <c r="L17">
        <v>5.4874901703114496</v>
      </c>
      <c r="M17">
        <v>3</v>
      </c>
      <c r="N17">
        <v>3.1791907435754601</v>
      </c>
      <c r="O17">
        <v>2.01759731909844</v>
      </c>
      <c r="P17">
        <v>3.3297458589144102</v>
      </c>
      <c r="Q17">
        <v>45.870921134948702</v>
      </c>
      <c r="R17">
        <v>12</v>
      </c>
      <c r="S17">
        <v>65.740740740740705</v>
      </c>
      <c r="T17">
        <v>65</v>
      </c>
      <c r="U17">
        <v>22</v>
      </c>
      <c r="V17">
        <v>107</v>
      </c>
      <c r="W17">
        <v>8875</v>
      </c>
      <c r="X17">
        <v>21.989808685260801</v>
      </c>
      <c r="Y17">
        <f t="shared" si="0"/>
        <v>0.76451535224914502</v>
      </c>
      <c r="Z17">
        <f t="shared" si="1"/>
        <v>5.1627452459051009</v>
      </c>
    </row>
    <row r="18" spans="1:26" x14ac:dyDescent="0.25">
      <c r="A18">
        <v>0</v>
      </c>
      <c r="B18">
        <v>3.9357685092465502</v>
      </c>
      <c r="C18">
        <v>6.6142745498832198</v>
      </c>
      <c r="D18">
        <v>1.05059329756182</v>
      </c>
      <c r="E18">
        <v>49.693497896194401</v>
      </c>
      <c r="F18">
        <v>13</v>
      </c>
      <c r="G18">
        <v>25.103703703703701</v>
      </c>
      <c r="H18">
        <v>25</v>
      </c>
      <c r="I18">
        <v>12</v>
      </c>
      <c r="J18">
        <v>39</v>
      </c>
      <c r="K18">
        <v>3389</v>
      </c>
      <c r="L18">
        <v>7.0766317922789801</v>
      </c>
      <c r="M18">
        <v>3</v>
      </c>
      <c r="N18">
        <v>3.2653879153388301</v>
      </c>
      <c r="O18">
        <v>2.1712706084909699</v>
      </c>
      <c r="P18">
        <v>3.22627675102401</v>
      </c>
      <c r="Q18">
        <v>49.693497896194401</v>
      </c>
      <c r="R18">
        <v>13</v>
      </c>
      <c r="S18">
        <v>84.644444444444403</v>
      </c>
      <c r="T18">
        <v>82</v>
      </c>
      <c r="U18">
        <v>31</v>
      </c>
      <c r="V18">
        <v>137</v>
      </c>
      <c r="W18">
        <v>11427</v>
      </c>
      <c r="X18">
        <v>26.4136064740348</v>
      </c>
      <c r="Y18">
        <f t="shared" si="0"/>
        <v>0.82822496493657338</v>
      </c>
      <c r="Z18">
        <f t="shared" si="1"/>
        <v>4.9923233722971405</v>
      </c>
    </row>
    <row r="19" spans="1:26" x14ac:dyDescent="0.25">
      <c r="A19">
        <v>0</v>
      </c>
      <c r="B19">
        <v>3.9552016174637101</v>
      </c>
      <c r="C19">
        <v>6.6474015402287998</v>
      </c>
      <c r="D19">
        <v>1.1535012625102501</v>
      </c>
      <c r="E19">
        <v>53.5160746574401</v>
      </c>
      <c r="F19">
        <v>14</v>
      </c>
      <c r="G19">
        <v>29.851851851851801</v>
      </c>
      <c r="H19">
        <v>29</v>
      </c>
      <c r="I19">
        <v>12</v>
      </c>
      <c r="J19">
        <v>47</v>
      </c>
      <c r="K19">
        <v>4030</v>
      </c>
      <c r="L19">
        <v>8.6598391272142905</v>
      </c>
      <c r="M19">
        <v>3</v>
      </c>
      <c r="N19">
        <v>3.1820325609153</v>
      </c>
      <c r="O19">
        <v>2.1645031432469</v>
      </c>
      <c r="P19">
        <v>3.1880469969745602</v>
      </c>
      <c r="Q19">
        <v>53.5160746574401</v>
      </c>
      <c r="R19">
        <v>14</v>
      </c>
      <c r="S19">
        <v>66.496296296296293</v>
      </c>
      <c r="T19">
        <v>64</v>
      </c>
      <c r="U19">
        <v>29</v>
      </c>
      <c r="V19">
        <v>107</v>
      </c>
      <c r="W19">
        <v>8977</v>
      </c>
      <c r="X19">
        <v>19.866672788183401</v>
      </c>
      <c r="Y19">
        <f t="shared" si="0"/>
        <v>0.89193457762400163</v>
      </c>
      <c r="Z19">
        <f t="shared" si="1"/>
        <v>4.9833266773605933</v>
      </c>
    </row>
    <row r="20" spans="1:26" x14ac:dyDescent="0.25">
      <c r="A20">
        <v>0</v>
      </c>
      <c r="B20">
        <v>3.9655172819239701</v>
      </c>
      <c r="C20">
        <v>6.7028764652138699</v>
      </c>
      <c r="D20">
        <v>1.16244226993601</v>
      </c>
      <c r="E20">
        <v>57.338651418685899</v>
      </c>
      <c r="F20">
        <v>15</v>
      </c>
      <c r="G20">
        <v>31.970370370370301</v>
      </c>
      <c r="H20">
        <v>31</v>
      </c>
      <c r="I20">
        <v>14</v>
      </c>
      <c r="J20">
        <v>52</v>
      </c>
      <c r="K20">
        <v>4316</v>
      </c>
      <c r="L20">
        <v>9.5354333235449804</v>
      </c>
      <c r="M20">
        <v>3</v>
      </c>
      <c r="N20">
        <v>3.3336273688455398</v>
      </c>
      <c r="O20">
        <v>2.0878313595606701</v>
      </c>
      <c r="P20">
        <v>3.2967486577395402</v>
      </c>
      <c r="Q20">
        <v>57.338651418685899</v>
      </c>
      <c r="R20">
        <v>15</v>
      </c>
      <c r="S20">
        <v>74</v>
      </c>
      <c r="T20">
        <v>73</v>
      </c>
      <c r="U20">
        <v>29</v>
      </c>
      <c r="V20">
        <v>119</v>
      </c>
      <c r="W20">
        <v>9990</v>
      </c>
      <c r="X20">
        <v>23.3228476794879</v>
      </c>
      <c r="Y20">
        <f t="shared" si="0"/>
        <v>0.95564419031143166</v>
      </c>
      <c r="Z20">
        <f t="shared" si="1"/>
        <v>5.1237866804232564</v>
      </c>
    </row>
    <row r="21" spans="1:26" x14ac:dyDescent="0.25">
      <c r="A21">
        <v>0</v>
      </c>
      <c r="B21">
        <v>4.00429541321569</v>
      </c>
      <c r="C21">
        <v>6.7375233957154599</v>
      </c>
      <c r="D21">
        <v>1.1341821370690499</v>
      </c>
      <c r="E21">
        <v>61.161228179931598</v>
      </c>
      <c r="F21">
        <v>16</v>
      </c>
      <c r="G21">
        <v>28.829629629629601</v>
      </c>
      <c r="H21">
        <v>28</v>
      </c>
      <c r="I21">
        <v>16</v>
      </c>
      <c r="J21">
        <v>42</v>
      </c>
      <c r="K21">
        <v>3892</v>
      </c>
      <c r="L21">
        <v>6.6259786556692299</v>
      </c>
      <c r="M21">
        <v>3</v>
      </c>
      <c r="N21">
        <v>3.29969165360728</v>
      </c>
      <c r="O21">
        <v>2.0737181006452601</v>
      </c>
      <c r="P21">
        <v>3.1882391592558998</v>
      </c>
      <c r="Q21">
        <v>61.161228179931598</v>
      </c>
      <c r="R21">
        <v>16</v>
      </c>
      <c r="S21">
        <v>74.059259259259207</v>
      </c>
      <c r="T21">
        <v>74</v>
      </c>
      <c r="U21">
        <v>29</v>
      </c>
      <c r="V21">
        <v>118</v>
      </c>
      <c r="W21">
        <v>9998</v>
      </c>
      <c r="X21">
        <v>22.4558482104371</v>
      </c>
      <c r="Y21">
        <f t="shared" si="0"/>
        <v>1.01935380299886</v>
      </c>
      <c r="Z21">
        <f t="shared" si="1"/>
        <v>5.1445793354534102</v>
      </c>
    </row>
    <row r="22" spans="1:26" x14ac:dyDescent="0.25">
      <c r="A22">
        <v>0</v>
      </c>
      <c r="B22">
        <v>3.9599584078199599</v>
      </c>
      <c r="C22">
        <v>6.8432058268320999</v>
      </c>
      <c r="D22">
        <v>1.15792208224703</v>
      </c>
      <c r="E22">
        <v>64.983804941177297</v>
      </c>
      <c r="F22">
        <v>17</v>
      </c>
      <c r="G22">
        <v>27.622222222222199</v>
      </c>
      <c r="H22">
        <v>28</v>
      </c>
      <c r="I22">
        <v>13</v>
      </c>
      <c r="J22">
        <v>42</v>
      </c>
      <c r="K22">
        <v>3729</v>
      </c>
      <c r="L22">
        <v>7.71010837435366</v>
      </c>
      <c r="M22">
        <v>3</v>
      </c>
      <c r="N22">
        <v>3.2854916685809799</v>
      </c>
      <c r="O22">
        <v>1.8977096379279199</v>
      </c>
      <c r="P22">
        <v>3.1479853891866298</v>
      </c>
      <c r="Q22">
        <v>64.983804941177297</v>
      </c>
      <c r="R22">
        <v>17</v>
      </c>
      <c r="S22">
        <v>72.562962962962899</v>
      </c>
      <c r="T22">
        <v>72</v>
      </c>
      <c r="U22">
        <v>35</v>
      </c>
      <c r="V22">
        <v>116</v>
      </c>
      <c r="W22">
        <v>9796</v>
      </c>
      <c r="X22">
        <v>21.1150393482399</v>
      </c>
      <c r="Y22">
        <f t="shared" si="0"/>
        <v>1.0830634156862884</v>
      </c>
      <c r="Z22">
        <f t="shared" si="1"/>
        <v>5.3733778856909744</v>
      </c>
    </row>
    <row r="23" spans="1:26" x14ac:dyDescent="0.25">
      <c r="A23">
        <v>0</v>
      </c>
      <c r="B23">
        <v>3.9223057860665902</v>
      </c>
      <c r="C23">
        <v>6.6995110813823704</v>
      </c>
      <c r="D23">
        <v>1.1521843336601501</v>
      </c>
      <c r="E23">
        <v>68.806381702423096</v>
      </c>
      <c r="F23">
        <v>18</v>
      </c>
      <c r="G23">
        <v>24.407407407407401</v>
      </c>
      <c r="H23">
        <v>23</v>
      </c>
      <c r="I23">
        <v>9</v>
      </c>
      <c r="J23">
        <v>46</v>
      </c>
      <c r="K23">
        <v>3295</v>
      </c>
      <c r="L23">
        <v>9.7600283645112391</v>
      </c>
      <c r="M23">
        <v>3</v>
      </c>
      <c r="N23">
        <v>3.1369263942468901</v>
      </c>
      <c r="O23">
        <v>1.9106560909744701</v>
      </c>
      <c r="P23">
        <v>3.2333774723220898</v>
      </c>
      <c r="Q23">
        <v>68.806381702423096</v>
      </c>
      <c r="R23">
        <v>18</v>
      </c>
      <c r="S23">
        <v>39.192592592592497</v>
      </c>
      <c r="T23">
        <v>36</v>
      </c>
      <c r="U23">
        <v>13</v>
      </c>
      <c r="V23">
        <v>71</v>
      </c>
      <c r="W23">
        <v>5291</v>
      </c>
      <c r="X23">
        <v>14.9663783873812</v>
      </c>
      <c r="Y23">
        <f t="shared" si="0"/>
        <v>1.1467730283737183</v>
      </c>
      <c r="Z23">
        <f t="shared" si="1"/>
        <v>5.2802762985153784</v>
      </c>
    </row>
    <row r="24" spans="1:26" x14ac:dyDescent="0.25">
      <c r="A24">
        <v>0</v>
      </c>
      <c r="B24">
        <v>3.97223233588424</v>
      </c>
      <c r="C24">
        <v>6.64746343164484</v>
      </c>
      <c r="D24">
        <v>1.1016235511197201</v>
      </c>
      <c r="E24">
        <v>72.628958463668795</v>
      </c>
      <c r="F24">
        <v>19</v>
      </c>
      <c r="G24">
        <v>17.8</v>
      </c>
      <c r="H24">
        <v>17</v>
      </c>
      <c r="I24">
        <v>5</v>
      </c>
      <c r="J24">
        <v>31</v>
      </c>
      <c r="K24">
        <v>2403</v>
      </c>
      <c r="L24">
        <v>6.4989092081304101</v>
      </c>
      <c r="M24">
        <v>3</v>
      </c>
      <c r="N24">
        <v>3.2266875102729999</v>
      </c>
      <c r="O24">
        <v>1.7266327008370499</v>
      </c>
      <c r="P24">
        <v>3.34967007543354</v>
      </c>
      <c r="Q24">
        <v>72.628958463668795</v>
      </c>
      <c r="R24">
        <v>19</v>
      </c>
      <c r="S24">
        <v>37.562962962962899</v>
      </c>
      <c r="T24">
        <v>35</v>
      </c>
      <c r="U24">
        <v>13</v>
      </c>
      <c r="V24">
        <v>67</v>
      </c>
      <c r="W24">
        <v>5071</v>
      </c>
      <c r="X24">
        <v>14.0885300057351</v>
      </c>
      <c r="Y24">
        <f t="shared" si="0"/>
        <v>1.2104826410611467</v>
      </c>
      <c r="Z24">
        <f t="shared" si="1"/>
        <v>5.461146889046061</v>
      </c>
    </row>
    <row r="25" spans="1:26" x14ac:dyDescent="0.25">
      <c r="Z25">
        <f>AVERAGE(Z7:Z24)</f>
        <v>5.016631938081666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231107_WT_10_Cell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2023-11-30T20:22:35Z</dcterms:created>
  <dcterms:modified xsi:type="dcterms:W3CDTF">2024-05-24T16:52:37Z</dcterms:modified>
</cp:coreProperties>
</file>