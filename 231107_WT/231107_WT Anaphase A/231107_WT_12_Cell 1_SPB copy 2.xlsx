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eagate Portable Drive/Elyra/STACKS/1minute_3second updated/WT Anaphase A/"/>
    </mc:Choice>
  </mc:AlternateContent>
  <xr:revisionPtr revIDLastSave="0" documentId="13_ncr:1_{131D8E99-DE87-4F4D-BDC3-ED0F086EB54F}" xr6:coauthVersionLast="47" xr6:coauthVersionMax="47" xr10:uidLastSave="{00000000-0000-0000-0000-000000000000}"/>
  <bookViews>
    <workbookView xWindow="1280" yWindow="960" windowWidth="27520" windowHeight="15560" xr2:uid="{00000000-000D-0000-FFFF-FFFF00000000}"/>
  </bookViews>
  <sheets>
    <sheet name="231107_WT_12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6" i="1" l="1"/>
  <c r="AH7" i="1"/>
  <c r="AH8" i="1"/>
  <c r="AH9" i="1"/>
  <c r="AH6" i="1"/>
  <c r="AG7" i="1"/>
  <c r="AG8" i="1"/>
  <c r="AG9" i="1"/>
  <c r="Z25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<sst xmlns="http://schemas.openxmlformats.org/spreadsheetml/2006/main" count="46" uniqueCount="33">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</sst>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9.3325375892805568E-2"/>
          <c:y val="1.1299435028248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5987970253718289E-2"/>
                  <c:y val="0.445536964129483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  <c:pt idx="11">
                  <c:v>0.70080560843149664</c:v>
                </c:pt>
                <c:pt idx="12">
                  <c:v>0.76451520919799665</c:v>
                </c:pt>
                <c:pt idx="13">
                  <c:v>0.82822480996449666</c:v>
                </c:pt>
                <c:pt idx="14">
                  <c:v>0.89193441073099666</c:v>
                </c:pt>
                <c:pt idx="15">
                  <c:v>0.95564401149749656</c:v>
                </c:pt>
                <c:pt idx="16">
                  <c:v>1.0193536122639968</c:v>
                </c:pt>
                <c:pt idx="17">
                  <c:v>1.0830632130304967</c:v>
                </c:pt>
                <c:pt idx="18">
                  <c:v>1.1467728137969966</c:v>
                </c:pt>
                <c:pt idx="19">
                  <c:v>1.2104824145634967</c:v>
                </c:pt>
              </c:numCache>
            </c:numRef>
          </c:xVal>
          <c:yVal>
            <c:numRef>
              <c:f>'231107_WT_12_Cell 1_SPB'!$Z$5:$Z$24</c:f>
              <c:numCache>
                <c:formatCode>General</c:formatCode>
                <c:ptCount val="20"/>
                <c:pt idx="0">
                  <c:v>4.4437146891340253</c:v>
                </c:pt>
                <c:pt idx="1">
                  <c:v>4.1439076231698797</c:v>
                </c:pt>
                <c:pt idx="2">
                  <c:v>4.4613675306192437</c:v>
                </c:pt>
                <c:pt idx="3">
                  <c:v>4.5423269267175161</c:v>
                </c:pt>
                <c:pt idx="4">
                  <c:v>4.6129248442468551</c:v>
                </c:pt>
                <c:pt idx="5">
                  <c:v>4.6852602850605578</c:v>
                </c:pt>
                <c:pt idx="6">
                  <c:v>4.7426942345392336</c:v>
                </c:pt>
                <c:pt idx="7">
                  <c:v>4.6455997955323847</c:v>
                </c:pt>
                <c:pt idx="8">
                  <c:v>4.5926893221441816</c:v>
                </c:pt>
                <c:pt idx="9">
                  <c:v>4.6462261892712027</c:v>
                </c:pt>
                <c:pt idx="10">
                  <c:v>4.7052338481951796</c:v>
                </c:pt>
                <c:pt idx="11">
                  <c:v>4.6719652111364072</c:v>
                </c:pt>
                <c:pt idx="12">
                  <c:v>4.7841826834161667</c:v>
                </c:pt>
                <c:pt idx="13">
                  <c:v>4.8836952350898262</c:v>
                </c:pt>
                <c:pt idx="14">
                  <c:v>4.9037189213629455</c:v>
                </c:pt>
                <c:pt idx="15">
                  <c:v>4.8960070959061328</c:v>
                </c:pt>
                <c:pt idx="16">
                  <c:v>4.9933261970106555</c:v>
                </c:pt>
                <c:pt idx="17">
                  <c:v>4.9729254906001739</c:v>
                </c:pt>
                <c:pt idx="18">
                  <c:v>4.8558530179344821</c:v>
                </c:pt>
                <c:pt idx="19">
                  <c:v>4.7536135756736204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41-4D51-B5F3-B275003AB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647080"/>
        <c:axId val="585320072"/>
      </c:scatterChart>
      <c:valAx>
        <c:axId val="681647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320072"/>
        <c:crosses val="autoZero"/>
        <c:crossBetween val="midCat"/>
      </c:valAx>
      <c:valAx>
        <c:axId val="58532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647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'231107_WT_12_Cell 1_SPB'!$AD$6:$AD$9</c:f>
              <c:numCache>
                <c:formatCode>General</c:formatCode>
                <c:ptCount val="4"/>
                <c:pt idx="0">
                  <c:v>22.93545628</c:v>
                </c:pt>
                <c:pt idx="1">
                  <c:v>26.758032320000002</c:v>
                </c:pt>
                <c:pt idx="2">
                  <c:v>30.58060837</c:v>
                </c:pt>
                <c:pt idx="3">
                  <c:v>34.403184410000001</c:v>
                </c:pt>
              </c:numCache>
            </c:numRef>
          </c:xVal>
          <c:yVal>
            <c:numRef>
              <c:f>'231107_WT_12_Cell 1_SPB'!$AG$6:$AG$9</c:f>
              <c:numCache>
                <c:formatCode>General</c:formatCode>
                <c:ptCount val="4"/>
                <c:pt idx="0">
                  <c:v>1.1837291433311077</c:v>
                </c:pt>
                <c:pt idx="1">
                  <c:v>1.068026999676924</c:v>
                </c:pt>
                <c:pt idx="2">
                  <c:v>0.96787135372596644</c:v>
                </c:pt>
                <c:pt idx="3">
                  <c:v>1.1004451600875951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7-8749-A4E9-63B1399A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3920"/>
        <c:axId val="748668864"/>
      </c:scatterChart>
      <c:valAx>
        <c:axId val="74848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668864"/>
        <c:crosses val="autoZero"/>
        <c:crossBetween val="midCat"/>
      </c:valAx>
      <c:valAx>
        <c:axId val="74866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48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311150</xdr:colOff>
      <xdr:row>26</xdr:row>
      <xdr:rowOff>88899</xdr:rowOff>
    </xdr:from>
    <xdr:to>
      <xdr:col>14</xdr:col>
      <xdr:colOff>558800</xdr:colOff>
      <xdr:row>38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BD7B96-FDBC-451E-9DE8-27E3339FA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647700</xdr:colOff>
      <xdr:row>11</xdr:row>
      <xdr:rowOff>127000</xdr:rowOff>
    </xdr:from>
    <xdr:to>
      <xdr:col>31</xdr:col>
      <xdr:colOff>317500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F71239-A324-A2E0-ADF0-4E1C046B3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5"/>
  <sheetViews>
    <sheetView tabSelected="1" topLeftCell="Q1" workbookViewId="0">
      <selection activeCell="AH10" sqref="AH10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34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34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34" x14ac:dyDescent="0.2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34" x14ac:dyDescent="0.2">
      <c r="A5">
        <v>0</v>
      </c>
      <c r="B5">
        <v>4.6966790731058303</v>
      </c>
      <c r="C5">
        <v>6.3120890733764696</v>
      </c>
      <c r="D5">
        <v>1.7079556774789899</v>
      </c>
      <c r="E5">
        <v>0</v>
      </c>
      <c r="F5">
        <v>0</v>
      </c>
      <c r="G5">
        <v>110.73333333333299</v>
      </c>
      <c r="H5">
        <v>106</v>
      </c>
      <c r="I5">
        <v>39</v>
      </c>
      <c r="J5">
        <v>199</v>
      </c>
      <c r="K5">
        <v>14949</v>
      </c>
      <c r="L5">
        <v>41.009318198483498</v>
      </c>
      <c r="M5">
        <v>2</v>
      </c>
      <c r="N5">
        <v>5.2032510073270402</v>
      </c>
      <c r="O5">
        <v>2.1806652419320902</v>
      </c>
      <c r="P5">
        <v>3.2640155217196698</v>
      </c>
      <c r="Q5">
        <v>0</v>
      </c>
      <c r="R5">
        <v>0</v>
      </c>
      <c r="S5">
        <v>287.95555555555501</v>
      </c>
      <c r="T5">
        <v>278</v>
      </c>
      <c r="U5">
        <v>90</v>
      </c>
      <c r="V5">
        <v>515</v>
      </c>
      <c r="W5">
        <v>38874</v>
      </c>
      <c r="X5">
        <v>111.766271757125</v>
      </c>
      <c r="Y5">
        <f>E5/60</f>
        <v>0</v>
      </c>
      <c r="Z5">
        <f>SQRT((B5-N5)^2+(C5-O5)^2+(D5-P5)^2)</f>
        <v>4.4437146891340253</v>
      </c>
    </row>
    <row r="6" spans="1:34" x14ac:dyDescent="0.2">
      <c r="A6">
        <v>0</v>
      </c>
      <c r="B6">
        <v>4.9278510206639403</v>
      </c>
      <c r="C6">
        <v>6.1758287458818204</v>
      </c>
      <c r="D6">
        <v>1.7726372278048299</v>
      </c>
      <c r="E6">
        <v>3.8225760459899898</v>
      </c>
      <c r="F6">
        <v>1</v>
      </c>
      <c r="G6">
        <v>114.051851851851</v>
      </c>
      <c r="H6">
        <v>109</v>
      </c>
      <c r="I6">
        <v>33</v>
      </c>
      <c r="J6">
        <v>206</v>
      </c>
      <c r="K6">
        <v>15397</v>
      </c>
      <c r="L6">
        <v>45.547796532138698</v>
      </c>
      <c r="M6">
        <v>2</v>
      </c>
      <c r="N6">
        <v>5.0304059457899397</v>
      </c>
      <c r="O6">
        <v>2.4074527908694598</v>
      </c>
      <c r="P6">
        <v>3.49333346432728</v>
      </c>
      <c r="Q6">
        <v>3.8225760459899898</v>
      </c>
      <c r="R6">
        <v>1</v>
      </c>
      <c r="S6">
        <v>160.97037037037001</v>
      </c>
      <c r="T6">
        <v>156</v>
      </c>
      <c r="U6">
        <v>56</v>
      </c>
      <c r="V6">
        <v>285</v>
      </c>
      <c r="W6">
        <v>21731</v>
      </c>
      <c r="X6">
        <v>60.0494747191089</v>
      </c>
      <c r="Y6">
        <f t="shared" ref="Y6:Y24" si="0">E6/60</f>
        <v>6.3709600766499827E-2</v>
      </c>
      <c r="Z6">
        <f t="shared" ref="Z6:Z24" si="1">SQRT((B6-N6)^2+(C6-O6)^2+(D6-P6)^2)</f>
        <v>4.1439076231698797</v>
      </c>
      <c r="AA6">
        <v>4.1006896480000004</v>
      </c>
      <c r="AB6">
        <v>1.878178465</v>
      </c>
      <c r="AC6">
        <v>4</v>
      </c>
      <c r="AD6">
        <v>22.93545628</v>
      </c>
      <c r="AE6">
        <v>69</v>
      </c>
      <c r="AF6">
        <v>3032</v>
      </c>
      <c r="AG6">
        <f>SQRT((N6-AA6)^2+(O6-AB6)^2+(P6-AC6)^2)</f>
        <v>1.1837291433311077</v>
      </c>
      <c r="AH6">
        <f>SQRT((B6-AA6)^2+(C6-AB6)^2+(D6-AC6)^2)</f>
        <v>4.9107167289665403</v>
      </c>
    </row>
    <row r="7" spans="1:34" x14ac:dyDescent="0.2">
      <c r="A7">
        <v>0</v>
      </c>
      <c r="B7">
        <v>4.7641870003711801</v>
      </c>
      <c r="C7">
        <v>6.1504132821053403</v>
      </c>
      <c r="D7">
        <v>1.6692175888615699</v>
      </c>
      <c r="E7">
        <v>7.6451520919799796</v>
      </c>
      <c r="F7">
        <v>2</v>
      </c>
      <c r="G7">
        <v>77.785185185185099</v>
      </c>
      <c r="H7">
        <v>73</v>
      </c>
      <c r="I7">
        <v>23</v>
      </c>
      <c r="J7">
        <v>145</v>
      </c>
      <c r="K7">
        <v>10501</v>
      </c>
      <c r="L7">
        <v>32.281963261513198</v>
      </c>
      <c r="M7">
        <v>2</v>
      </c>
      <c r="N7">
        <v>5.0790918892658103</v>
      </c>
      <c r="O7">
        <v>2.1159231448467</v>
      </c>
      <c r="P7">
        <v>3.5473881047031601</v>
      </c>
      <c r="Q7">
        <v>7.6451520919799796</v>
      </c>
      <c r="R7">
        <v>2</v>
      </c>
      <c r="S7">
        <v>118.666666666666</v>
      </c>
      <c r="T7">
        <v>115</v>
      </c>
      <c r="U7">
        <v>39</v>
      </c>
      <c r="V7">
        <v>206</v>
      </c>
      <c r="W7">
        <v>16020</v>
      </c>
      <c r="X7">
        <v>44.043736742795197</v>
      </c>
      <c r="Y7">
        <f t="shared" si="0"/>
        <v>0.12741920153299965</v>
      </c>
      <c r="Z7">
        <f t="shared" si="1"/>
        <v>4.4613675306192437</v>
      </c>
      <c r="AA7">
        <v>4.1636465530000004</v>
      </c>
      <c r="AB7">
        <v>1.7624243740000001</v>
      </c>
      <c r="AC7">
        <v>3.968909311</v>
      </c>
      <c r="AD7">
        <v>26.758032320000002</v>
      </c>
      <c r="AE7">
        <v>26</v>
      </c>
      <c r="AF7">
        <v>1207</v>
      </c>
      <c r="AG7">
        <f t="shared" ref="AG7:AG9" si="2">SQRT((N7-AA7)^2+(O7-AB7)^2+(P7-AC7)^2)</f>
        <v>1.068026999676924</v>
      </c>
      <c r="AH7">
        <f t="shared" ref="AH7:AH9" si="3">SQRT((B7-AA7)^2+(C7-AB7)^2+(D7-AC7)^2)</f>
        <v>4.9903584544054844</v>
      </c>
    </row>
    <row r="8" spans="1:34" x14ac:dyDescent="0.2">
      <c r="A8">
        <v>0</v>
      </c>
      <c r="B8">
        <v>4.8363216818719703</v>
      </c>
      <c r="C8">
        <v>6.1573359844956403</v>
      </c>
      <c r="D8">
        <v>1.6887743223015399</v>
      </c>
      <c r="E8">
        <v>11.4677281379699</v>
      </c>
      <c r="F8">
        <v>3</v>
      </c>
      <c r="G8">
        <v>57.2814814814814</v>
      </c>
      <c r="H8">
        <v>54</v>
      </c>
      <c r="I8">
        <v>19</v>
      </c>
      <c r="J8">
        <v>101</v>
      </c>
      <c r="K8">
        <v>7733</v>
      </c>
      <c r="L8">
        <v>22.152339538806299</v>
      </c>
      <c r="M8">
        <v>2</v>
      </c>
      <c r="N8">
        <v>5.0596520376465497</v>
      </c>
      <c r="O8">
        <v>2.0243147731653401</v>
      </c>
      <c r="P8">
        <v>3.5598684215029701</v>
      </c>
      <c r="Q8">
        <v>11.4677281379699</v>
      </c>
      <c r="R8">
        <v>3</v>
      </c>
      <c r="S8">
        <v>83.170370370370307</v>
      </c>
      <c r="T8">
        <v>80</v>
      </c>
      <c r="U8">
        <v>25</v>
      </c>
      <c r="V8">
        <v>142</v>
      </c>
      <c r="W8">
        <v>11228</v>
      </c>
      <c r="X8">
        <v>30.997241268856602</v>
      </c>
      <c r="Y8">
        <f t="shared" si="0"/>
        <v>0.19112880229949833</v>
      </c>
      <c r="Z8">
        <f t="shared" si="1"/>
        <v>4.5423269267175161</v>
      </c>
      <c r="AA8">
        <v>4.2099189340000001</v>
      </c>
      <c r="AB8">
        <v>1.806833911</v>
      </c>
      <c r="AC8">
        <v>3.9690513690000002</v>
      </c>
      <c r="AD8">
        <v>30.58060837</v>
      </c>
      <c r="AE8">
        <v>27</v>
      </c>
      <c r="AF8">
        <v>1181</v>
      </c>
      <c r="AG8">
        <f t="shared" si="2"/>
        <v>0.96787135372596644</v>
      </c>
      <c r="AH8">
        <f t="shared" si="3"/>
        <v>4.9516575107464043</v>
      </c>
    </row>
    <row r="9" spans="1:34" x14ac:dyDescent="0.2">
      <c r="A9">
        <v>0</v>
      </c>
      <c r="B9">
        <v>4.72010306644572</v>
      </c>
      <c r="C9">
        <v>6.4021946035245803</v>
      </c>
      <c r="D9">
        <v>1.92820956051089</v>
      </c>
      <c r="E9">
        <v>15.290304183959901</v>
      </c>
      <c r="F9">
        <v>4</v>
      </c>
      <c r="G9">
        <v>38.355555555555497</v>
      </c>
      <c r="H9">
        <v>38</v>
      </c>
      <c r="I9">
        <v>15</v>
      </c>
      <c r="J9">
        <v>65</v>
      </c>
      <c r="K9">
        <v>5178</v>
      </c>
      <c r="L9">
        <v>13.224506122689499</v>
      </c>
      <c r="M9">
        <v>2</v>
      </c>
      <c r="N9">
        <v>5.0559221145596602</v>
      </c>
      <c r="O9">
        <v>2.1110899668757601</v>
      </c>
      <c r="P9">
        <v>3.5873425217062</v>
      </c>
      <c r="Q9">
        <v>15.290304183959901</v>
      </c>
      <c r="R9">
        <v>4</v>
      </c>
      <c r="S9">
        <v>72.703703703703695</v>
      </c>
      <c r="T9">
        <v>72</v>
      </c>
      <c r="U9">
        <v>21</v>
      </c>
      <c r="V9">
        <v>124</v>
      </c>
      <c r="W9">
        <v>9815</v>
      </c>
      <c r="X9">
        <v>28.037840654520199</v>
      </c>
      <c r="Y9">
        <f t="shared" si="0"/>
        <v>0.25483840306599836</v>
      </c>
      <c r="Z9">
        <f t="shared" si="1"/>
        <v>4.6129248442468551</v>
      </c>
      <c r="AA9">
        <v>4.0941748220000003</v>
      </c>
      <c r="AB9">
        <v>1.736129563</v>
      </c>
      <c r="AC9">
        <v>3.9686906450000001</v>
      </c>
      <c r="AD9">
        <v>34.403184410000001</v>
      </c>
      <c r="AE9">
        <v>30</v>
      </c>
      <c r="AF9">
        <v>1452</v>
      </c>
      <c r="AG9">
        <f t="shared" si="2"/>
        <v>1.1004451600875951</v>
      </c>
      <c r="AH9">
        <f t="shared" si="3"/>
        <v>5.1310342218463534</v>
      </c>
    </row>
    <row r="10" spans="1:34" x14ac:dyDescent="0.2">
      <c r="A10">
        <v>0</v>
      </c>
      <c r="B10">
        <v>4.7673218097047796</v>
      </c>
      <c r="C10">
        <v>6.4878680963255198</v>
      </c>
      <c r="D10">
        <v>1.84095107492299</v>
      </c>
      <c r="E10">
        <v>19.112880229949901</v>
      </c>
      <c r="F10">
        <v>5</v>
      </c>
      <c r="G10">
        <v>36.451851851851799</v>
      </c>
      <c r="H10">
        <v>35</v>
      </c>
      <c r="I10">
        <v>11</v>
      </c>
      <c r="J10">
        <v>62</v>
      </c>
      <c r="K10">
        <v>4921</v>
      </c>
      <c r="L10">
        <v>12.6465844120585</v>
      </c>
      <c r="M10">
        <v>2</v>
      </c>
      <c r="N10">
        <v>5.02853456372734</v>
      </c>
      <c r="O10">
        <v>2.1541397448369302</v>
      </c>
      <c r="P10">
        <v>3.6022660414765801</v>
      </c>
      <c r="Q10">
        <v>19.112880229949901</v>
      </c>
      <c r="R10">
        <v>5</v>
      </c>
      <c r="S10">
        <v>71.5555555555555</v>
      </c>
      <c r="T10">
        <v>70</v>
      </c>
      <c r="U10">
        <v>23</v>
      </c>
      <c r="V10">
        <v>126</v>
      </c>
      <c r="W10">
        <v>9660</v>
      </c>
      <c r="X10">
        <v>27.935871837538599</v>
      </c>
      <c r="Y10">
        <f t="shared" si="0"/>
        <v>0.31854800383249837</v>
      </c>
      <c r="Z10">
        <f t="shared" si="1"/>
        <v>4.6852602850605578</v>
      </c>
    </row>
    <row r="11" spans="1:34" x14ac:dyDescent="0.2">
      <c r="A11">
        <v>0</v>
      </c>
      <c r="B11">
        <v>4.6867192265486501</v>
      </c>
      <c r="C11">
        <v>6.5619441808798697</v>
      </c>
      <c r="D11">
        <v>1.9063166996904399</v>
      </c>
      <c r="E11">
        <v>22.935456275939899</v>
      </c>
      <c r="F11">
        <v>6</v>
      </c>
      <c r="G11">
        <v>38.044444444444402</v>
      </c>
      <c r="H11">
        <v>35</v>
      </c>
      <c r="I11">
        <v>11</v>
      </c>
      <c r="J11">
        <v>71</v>
      </c>
      <c r="K11">
        <v>5136</v>
      </c>
      <c r="L11">
        <v>15.4600431863362</v>
      </c>
      <c r="M11">
        <v>2</v>
      </c>
      <c r="N11">
        <v>5.0317163925352304</v>
      </c>
      <c r="O11">
        <v>2.1774614271175001</v>
      </c>
      <c r="P11">
        <v>3.6812636115030899</v>
      </c>
      <c r="Q11">
        <v>22.935456275939899</v>
      </c>
      <c r="R11">
        <v>6</v>
      </c>
      <c r="S11">
        <v>83.977777777777703</v>
      </c>
      <c r="T11">
        <v>79</v>
      </c>
      <c r="U11">
        <v>26</v>
      </c>
      <c r="V11">
        <v>151</v>
      </c>
      <c r="W11">
        <v>11337</v>
      </c>
      <c r="X11">
        <v>33.131233103601403</v>
      </c>
      <c r="Y11">
        <f t="shared" si="0"/>
        <v>0.38225760459899832</v>
      </c>
      <c r="Z11">
        <f t="shared" si="1"/>
        <v>4.7426942345392336</v>
      </c>
    </row>
    <row r="12" spans="1:34" x14ac:dyDescent="0.2">
      <c r="A12">
        <v>0</v>
      </c>
      <c r="B12">
        <v>4.6498939998744904</v>
      </c>
      <c r="C12">
        <v>6.6210514640288602</v>
      </c>
      <c r="D12">
        <v>1.8944489048627899</v>
      </c>
      <c r="E12">
        <v>26.7580323219299</v>
      </c>
      <c r="F12">
        <v>7</v>
      </c>
      <c r="G12">
        <v>29.0888888888888</v>
      </c>
      <c r="H12">
        <v>27</v>
      </c>
      <c r="I12">
        <v>7</v>
      </c>
      <c r="J12">
        <v>54</v>
      </c>
      <c r="K12">
        <v>3927</v>
      </c>
      <c r="L12">
        <v>12.0962968717682</v>
      </c>
      <c r="M12">
        <v>2</v>
      </c>
      <c r="N12">
        <v>5.0869461722735201</v>
      </c>
      <c r="O12">
        <v>2.2790789105021898</v>
      </c>
      <c r="P12">
        <v>3.48751425294896</v>
      </c>
      <c r="Q12">
        <v>26.7580323219299</v>
      </c>
      <c r="R12">
        <v>7</v>
      </c>
      <c r="S12">
        <v>93.792592592592598</v>
      </c>
      <c r="T12">
        <v>92</v>
      </c>
      <c r="U12">
        <v>31</v>
      </c>
      <c r="V12">
        <v>163</v>
      </c>
      <c r="W12">
        <v>12662</v>
      </c>
      <c r="X12">
        <v>35.707998246200901</v>
      </c>
      <c r="Y12">
        <f t="shared" si="0"/>
        <v>0.44596720536549833</v>
      </c>
      <c r="Z12">
        <f t="shared" si="1"/>
        <v>4.6455997955323847</v>
      </c>
    </row>
    <row r="13" spans="1:34" x14ac:dyDescent="0.2">
      <c r="A13">
        <v>0</v>
      </c>
      <c r="B13">
        <v>4.7085706967694199</v>
      </c>
      <c r="C13">
        <v>6.5545277979965402</v>
      </c>
      <c r="D13">
        <v>1.86826408311718</v>
      </c>
      <c r="E13">
        <v>30.580608367919901</v>
      </c>
      <c r="F13">
        <v>8</v>
      </c>
      <c r="G13">
        <v>32.288888888888799</v>
      </c>
      <c r="H13">
        <v>31</v>
      </c>
      <c r="I13">
        <v>10</v>
      </c>
      <c r="J13">
        <v>60</v>
      </c>
      <c r="K13">
        <v>4359</v>
      </c>
      <c r="L13">
        <v>13.3756666268056</v>
      </c>
      <c r="M13">
        <v>2</v>
      </c>
      <c r="N13">
        <v>5.1868792562653798</v>
      </c>
      <c r="O13">
        <v>2.2562948799389302</v>
      </c>
      <c r="P13">
        <v>3.41397101322264</v>
      </c>
      <c r="Q13">
        <v>30.580608367919901</v>
      </c>
      <c r="R13">
        <v>8</v>
      </c>
      <c r="S13">
        <v>82.688888888888798</v>
      </c>
      <c r="T13">
        <v>79</v>
      </c>
      <c r="U13">
        <v>29</v>
      </c>
      <c r="V13">
        <v>147</v>
      </c>
      <c r="W13">
        <v>11163</v>
      </c>
      <c r="X13">
        <v>31.060236774012299</v>
      </c>
      <c r="Y13">
        <f t="shared" si="0"/>
        <v>0.50967680613199839</v>
      </c>
      <c r="Z13">
        <f t="shared" si="1"/>
        <v>4.5926893221441816</v>
      </c>
    </row>
    <row r="14" spans="1:34" x14ac:dyDescent="0.2">
      <c r="A14">
        <v>0</v>
      </c>
      <c r="B14">
        <v>4.5820918131582697</v>
      </c>
      <c r="C14">
        <v>6.4673290655792002</v>
      </c>
      <c r="D14">
        <v>1.60055224328568</v>
      </c>
      <c r="E14">
        <v>34.403184413909898</v>
      </c>
      <c r="F14">
        <v>9</v>
      </c>
      <c r="G14">
        <v>21.651851851851799</v>
      </c>
      <c r="H14">
        <v>21</v>
      </c>
      <c r="I14">
        <v>6</v>
      </c>
      <c r="J14">
        <v>38</v>
      </c>
      <c r="K14">
        <v>2923</v>
      </c>
      <c r="L14">
        <v>8.0291618849605495</v>
      </c>
      <c r="M14">
        <v>2</v>
      </c>
      <c r="N14">
        <v>5.1360454029245499</v>
      </c>
      <c r="O14">
        <v>2.2191464296180001</v>
      </c>
      <c r="P14">
        <v>3.3987450899437901</v>
      </c>
      <c r="Q14">
        <v>34.403184413909898</v>
      </c>
      <c r="R14">
        <v>9</v>
      </c>
      <c r="S14">
        <v>69.955555555555506</v>
      </c>
      <c r="T14">
        <v>64</v>
      </c>
      <c r="U14">
        <v>27</v>
      </c>
      <c r="V14">
        <v>122</v>
      </c>
      <c r="W14">
        <v>9444</v>
      </c>
      <c r="X14">
        <v>24.7011591566386</v>
      </c>
      <c r="Y14">
        <f t="shared" si="0"/>
        <v>0.57338640689849829</v>
      </c>
      <c r="Z14">
        <f t="shared" si="1"/>
        <v>4.6462261892712027</v>
      </c>
    </row>
    <row r="15" spans="1:34" x14ac:dyDescent="0.2">
      <c r="A15">
        <v>0</v>
      </c>
      <c r="B15">
        <v>4.5996148687482199</v>
      </c>
      <c r="C15">
        <v>6.4875139527030496</v>
      </c>
      <c r="D15">
        <v>1.64948921552706</v>
      </c>
      <c r="E15">
        <v>38.225760459899902</v>
      </c>
      <c r="F15">
        <v>10</v>
      </c>
      <c r="G15">
        <v>21.0592592592592</v>
      </c>
      <c r="H15">
        <v>19</v>
      </c>
      <c r="I15">
        <v>7</v>
      </c>
      <c r="J15">
        <v>40</v>
      </c>
      <c r="K15">
        <v>2843</v>
      </c>
      <c r="L15">
        <v>8.3895483689688604</v>
      </c>
      <c r="M15">
        <v>2</v>
      </c>
      <c r="N15">
        <v>5.2951347243715796</v>
      </c>
      <c r="O15">
        <v>2.2016810519640102</v>
      </c>
      <c r="P15">
        <v>3.46252921607257</v>
      </c>
      <c r="Q15">
        <v>38.225760459899902</v>
      </c>
      <c r="R15">
        <v>10</v>
      </c>
      <c r="S15">
        <v>62.481481481481403</v>
      </c>
      <c r="T15">
        <v>60</v>
      </c>
      <c r="U15">
        <v>20</v>
      </c>
      <c r="V15">
        <v>112</v>
      </c>
      <c r="W15">
        <v>8435</v>
      </c>
      <c r="X15">
        <v>24.062683021781702</v>
      </c>
      <c r="Y15">
        <f t="shared" si="0"/>
        <v>0.63709600766499841</v>
      </c>
      <c r="Z15">
        <f t="shared" si="1"/>
        <v>4.7052338481951796</v>
      </c>
    </row>
    <row r="16" spans="1:34" x14ac:dyDescent="0.2">
      <c r="A16">
        <v>0</v>
      </c>
      <c r="B16">
        <v>4.5986605708069197</v>
      </c>
      <c r="C16">
        <v>6.4936830081199997</v>
      </c>
      <c r="D16">
        <v>1.59299250722854</v>
      </c>
      <c r="E16">
        <v>42.0483365058898</v>
      </c>
      <c r="F16">
        <v>11</v>
      </c>
      <c r="G16">
        <v>18.496296296296201</v>
      </c>
      <c r="H16">
        <v>18</v>
      </c>
      <c r="I16">
        <v>5</v>
      </c>
      <c r="J16">
        <v>33</v>
      </c>
      <c r="K16">
        <v>2497</v>
      </c>
      <c r="L16">
        <v>6.9849241430875697</v>
      </c>
      <c r="M16">
        <v>2</v>
      </c>
      <c r="N16">
        <v>5.3366285547999697</v>
      </c>
      <c r="O16">
        <v>2.2136319448145199</v>
      </c>
      <c r="P16">
        <v>3.31456884424288</v>
      </c>
      <c r="Q16">
        <v>42.0483365058898</v>
      </c>
      <c r="R16">
        <v>11</v>
      </c>
      <c r="S16">
        <v>60.259259259259203</v>
      </c>
      <c r="T16">
        <v>57</v>
      </c>
      <c r="U16">
        <v>18</v>
      </c>
      <c r="V16">
        <v>107</v>
      </c>
      <c r="W16">
        <v>8135</v>
      </c>
      <c r="X16">
        <v>23.262923855630799</v>
      </c>
      <c r="Y16">
        <f t="shared" si="0"/>
        <v>0.70080560843149664</v>
      </c>
      <c r="Z16">
        <f t="shared" si="1"/>
        <v>4.6719652111364072</v>
      </c>
    </row>
    <row r="17" spans="1:26" x14ac:dyDescent="0.2">
      <c r="A17">
        <v>0</v>
      </c>
      <c r="B17">
        <v>4.5334097225094201</v>
      </c>
      <c r="C17">
        <v>6.5003970605679902</v>
      </c>
      <c r="D17">
        <v>1.61581359246015</v>
      </c>
      <c r="E17">
        <v>45.870912551879798</v>
      </c>
      <c r="F17">
        <v>12</v>
      </c>
      <c r="G17">
        <v>16.244444444444401</v>
      </c>
      <c r="H17">
        <v>16</v>
      </c>
      <c r="I17">
        <v>6</v>
      </c>
      <c r="J17">
        <v>30</v>
      </c>
      <c r="K17">
        <v>2193</v>
      </c>
      <c r="L17">
        <v>6.2359892710823903</v>
      </c>
      <c r="M17">
        <v>2</v>
      </c>
      <c r="N17">
        <v>5.4135781116211801</v>
      </c>
      <c r="O17">
        <v>2.1281217354765101</v>
      </c>
      <c r="P17">
        <v>3.34697390759671</v>
      </c>
      <c r="Q17">
        <v>45.870912551879798</v>
      </c>
      <c r="R17">
        <v>12</v>
      </c>
      <c r="S17">
        <v>69.488888888888894</v>
      </c>
      <c r="T17">
        <v>63</v>
      </c>
      <c r="U17">
        <v>27</v>
      </c>
      <c r="V17">
        <v>122</v>
      </c>
      <c r="W17">
        <v>9381</v>
      </c>
      <c r="X17">
        <v>25.089352759498301</v>
      </c>
      <c r="Y17">
        <f t="shared" si="0"/>
        <v>0.76451520919799665</v>
      </c>
      <c r="Z17">
        <f t="shared" si="1"/>
        <v>4.7841826834161667</v>
      </c>
    </row>
    <row r="18" spans="1:26" x14ac:dyDescent="0.2">
      <c r="A18">
        <v>0</v>
      </c>
      <c r="B18">
        <v>4.4663421036920203</v>
      </c>
      <c r="C18">
        <v>6.6204712427367696</v>
      </c>
      <c r="D18">
        <v>1.5378440222040599</v>
      </c>
      <c r="E18">
        <v>49.693488597869802</v>
      </c>
      <c r="F18">
        <v>13</v>
      </c>
      <c r="G18">
        <v>18.7259259259259</v>
      </c>
      <c r="H18">
        <v>18</v>
      </c>
      <c r="I18">
        <v>6</v>
      </c>
      <c r="J18">
        <v>33</v>
      </c>
      <c r="K18">
        <v>2528</v>
      </c>
      <c r="L18">
        <v>7.11885202638575</v>
      </c>
      <c r="M18">
        <v>2</v>
      </c>
      <c r="N18">
        <v>5.3260067242658096</v>
      </c>
      <c r="O18">
        <v>2.2221808919222301</v>
      </c>
      <c r="P18">
        <v>3.4785907545997401</v>
      </c>
      <c r="Q18">
        <v>49.693488597869802</v>
      </c>
      <c r="R18">
        <v>13</v>
      </c>
      <c r="S18">
        <v>63.288888888888799</v>
      </c>
      <c r="T18">
        <v>58</v>
      </c>
      <c r="U18">
        <v>25</v>
      </c>
      <c r="V18">
        <v>115</v>
      </c>
      <c r="W18">
        <v>8544</v>
      </c>
      <c r="X18">
        <v>23.939870779419898</v>
      </c>
      <c r="Y18">
        <f t="shared" si="0"/>
        <v>0.82822480996449666</v>
      </c>
      <c r="Z18">
        <f t="shared" si="1"/>
        <v>4.8836952350898262</v>
      </c>
    </row>
    <row r="19" spans="1:26" x14ac:dyDescent="0.2">
      <c r="A19">
        <v>0</v>
      </c>
      <c r="B19">
        <v>4.3730888434077597</v>
      </c>
      <c r="C19">
        <v>6.7266510670946502</v>
      </c>
      <c r="D19">
        <v>1.7414781989686201</v>
      </c>
      <c r="E19">
        <v>53.516064643859799</v>
      </c>
      <c r="F19">
        <v>14</v>
      </c>
      <c r="G19">
        <v>14.955555555555501</v>
      </c>
      <c r="H19">
        <v>15</v>
      </c>
      <c r="I19">
        <v>5</v>
      </c>
      <c r="J19">
        <v>25</v>
      </c>
      <c r="K19">
        <v>2019</v>
      </c>
      <c r="L19">
        <v>4.9367139150053001</v>
      </c>
      <c r="M19">
        <v>2</v>
      </c>
      <c r="N19">
        <v>5.3758777833226299</v>
      </c>
      <c r="O19">
        <v>2.23969765015572</v>
      </c>
      <c r="P19">
        <v>3.44680005596144</v>
      </c>
      <c r="Q19">
        <v>53.516064643859799</v>
      </c>
      <c r="R19">
        <v>14</v>
      </c>
      <c r="S19">
        <v>45.096296296296202</v>
      </c>
      <c r="T19">
        <v>44</v>
      </c>
      <c r="U19">
        <v>15</v>
      </c>
      <c r="V19">
        <v>78</v>
      </c>
      <c r="W19">
        <v>6088</v>
      </c>
      <c r="X19">
        <v>16.783909349310701</v>
      </c>
      <c r="Y19">
        <f t="shared" si="0"/>
        <v>0.89193441073099666</v>
      </c>
      <c r="Z19">
        <f t="shared" si="1"/>
        <v>4.9037189213629455</v>
      </c>
    </row>
    <row r="20" spans="1:26" x14ac:dyDescent="0.2">
      <c r="A20">
        <v>0</v>
      </c>
      <c r="B20">
        <v>4.4521248474392801</v>
      </c>
      <c r="C20">
        <v>6.7333102547769403</v>
      </c>
      <c r="D20">
        <v>1.6958573033877899</v>
      </c>
      <c r="E20">
        <v>57.338640689849797</v>
      </c>
      <c r="F20">
        <v>15</v>
      </c>
      <c r="G20">
        <v>15.925925925925901</v>
      </c>
      <c r="H20">
        <v>15</v>
      </c>
      <c r="I20">
        <v>7</v>
      </c>
      <c r="J20">
        <v>28</v>
      </c>
      <c r="K20">
        <v>2150</v>
      </c>
      <c r="L20">
        <v>5.5860028023538302</v>
      </c>
      <c r="M20">
        <v>2</v>
      </c>
      <c r="N20">
        <v>5.4629224031889203</v>
      </c>
      <c r="O20">
        <v>2.2744139062410902</v>
      </c>
      <c r="P20">
        <v>3.4472616363353299</v>
      </c>
      <c r="Q20">
        <v>57.338640689849797</v>
      </c>
      <c r="R20">
        <v>15</v>
      </c>
      <c r="S20">
        <v>51.733333333333299</v>
      </c>
      <c r="T20">
        <v>50</v>
      </c>
      <c r="U20">
        <v>17</v>
      </c>
      <c r="V20">
        <v>90</v>
      </c>
      <c r="W20">
        <v>6984</v>
      </c>
      <c r="X20">
        <v>19.468765647079302</v>
      </c>
      <c r="Y20">
        <f t="shared" si="0"/>
        <v>0.95564401149749656</v>
      </c>
      <c r="Z20">
        <f t="shared" si="1"/>
        <v>4.8960070959061328</v>
      </c>
    </row>
    <row r="21" spans="1:26" x14ac:dyDescent="0.2">
      <c r="A21">
        <v>0</v>
      </c>
      <c r="B21">
        <v>4.5187941968050804</v>
      </c>
      <c r="C21">
        <v>6.8593036650570696</v>
      </c>
      <c r="D21">
        <v>1.89158113201084</v>
      </c>
      <c r="E21">
        <v>61.161216735839801</v>
      </c>
      <c r="F21">
        <v>16</v>
      </c>
      <c r="G21">
        <v>20.7555555555555</v>
      </c>
      <c r="H21">
        <v>20</v>
      </c>
      <c r="I21">
        <v>7</v>
      </c>
      <c r="J21">
        <v>40</v>
      </c>
      <c r="K21">
        <v>2802</v>
      </c>
      <c r="L21">
        <v>8.5914454734569006</v>
      </c>
      <c r="M21">
        <v>2</v>
      </c>
      <c r="N21">
        <v>5.5889757865008196</v>
      </c>
      <c r="O21">
        <v>2.2321361065056902</v>
      </c>
      <c r="P21">
        <v>3.4334430778149598</v>
      </c>
      <c r="Q21">
        <v>61.161216735839801</v>
      </c>
      <c r="R21">
        <v>16</v>
      </c>
      <c r="S21">
        <v>45.4</v>
      </c>
      <c r="T21">
        <v>43</v>
      </c>
      <c r="U21">
        <v>13</v>
      </c>
      <c r="V21">
        <v>82</v>
      </c>
      <c r="W21">
        <v>6129</v>
      </c>
      <c r="X21">
        <v>18.1372051031911</v>
      </c>
      <c r="Y21">
        <f t="shared" si="0"/>
        <v>1.0193536122639968</v>
      </c>
      <c r="Z21">
        <f t="shared" si="1"/>
        <v>4.9933261970106555</v>
      </c>
    </row>
    <row r="22" spans="1:26" x14ac:dyDescent="0.2">
      <c r="A22">
        <v>0</v>
      </c>
      <c r="B22">
        <v>4.61643364715537</v>
      </c>
      <c r="C22">
        <v>6.7364783922878901</v>
      </c>
      <c r="D22">
        <v>1.8656909940433499</v>
      </c>
      <c r="E22">
        <v>64.983792781829806</v>
      </c>
      <c r="F22">
        <v>17</v>
      </c>
      <c r="G22">
        <v>15.8888888888888</v>
      </c>
      <c r="H22">
        <v>15</v>
      </c>
      <c r="I22">
        <v>4</v>
      </c>
      <c r="J22">
        <v>28</v>
      </c>
      <c r="K22">
        <v>2145</v>
      </c>
      <c r="L22">
        <v>5.7115576288140204</v>
      </c>
      <c r="M22">
        <v>2</v>
      </c>
      <c r="N22">
        <v>5.5644670850163198</v>
      </c>
      <c r="O22">
        <v>2.1376369093463499</v>
      </c>
      <c r="P22">
        <v>3.5033348962805202</v>
      </c>
      <c r="Q22">
        <v>64.983792781829806</v>
      </c>
      <c r="R22">
        <v>17</v>
      </c>
      <c r="S22">
        <v>46.651851851851802</v>
      </c>
      <c r="T22">
        <v>44</v>
      </c>
      <c r="U22">
        <v>15</v>
      </c>
      <c r="V22">
        <v>83</v>
      </c>
      <c r="W22">
        <v>6298</v>
      </c>
      <c r="X22">
        <v>17.736175410353901</v>
      </c>
      <c r="Y22">
        <f t="shared" si="0"/>
        <v>1.0830632130304967</v>
      </c>
      <c r="Z22">
        <f t="shared" si="1"/>
        <v>4.9729254906001739</v>
      </c>
    </row>
    <row r="23" spans="1:26" x14ac:dyDescent="0.2">
      <c r="A23">
        <v>0</v>
      </c>
      <c r="B23">
        <v>4.5923823333781497</v>
      </c>
      <c r="C23">
        <v>6.5560360672666498</v>
      </c>
      <c r="D23">
        <v>1.74955530088359</v>
      </c>
      <c r="E23">
        <v>68.806368827819796</v>
      </c>
      <c r="F23">
        <v>18</v>
      </c>
      <c r="G23">
        <v>11.2666666666666</v>
      </c>
      <c r="H23">
        <v>11</v>
      </c>
      <c r="I23">
        <v>3</v>
      </c>
      <c r="J23">
        <v>19</v>
      </c>
      <c r="K23">
        <v>1521</v>
      </c>
      <c r="L23">
        <v>3.93264181458101</v>
      </c>
      <c r="M23">
        <v>2</v>
      </c>
      <c r="N23">
        <v>5.4523854315349896</v>
      </c>
      <c r="O23">
        <v>2.1576542279939201</v>
      </c>
      <c r="P23">
        <v>3.6187637961831101</v>
      </c>
      <c r="Q23">
        <v>68.806368827819796</v>
      </c>
      <c r="R23">
        <v>18</v>
      </c>
      <c r="S23">
        <v>34.5555555555555</v>
      </c>
      <c r="T23">
        <v>32</v>
      </c>
      <c r="U23">
        <v>12</v>
      </c>
      <c r="V23">
        <v>59</v>
      </c>
      <c r="W23">
        <v>4665</v>
      </c>
      <c r="X23">
        <v>12.3449588881554</v>
      </c>
      <c r="Y23">
        <f t="shared" si="0"/>
        <v>1.1467728137969966</v>
      </c>
      <c r="Z23">
        <f t="shared" si="1"/>
        <v>4.8558530179344821</v>
      </c>
    </row>
    <row r="24" spans="1:26" x14ac:dyDescent="0.2">
      <c r="A24">
        <v>0</v>
      </c>
      <c r="B24">
        <v>4.6725019947512703</v>
      </c>
      <c r="C24">
        <v>6.5870756896980698</v>
      </c>
      <c r="D24">
        <v>1.6652493790832501</v>
      </c>
      <c r="E24">
        <v>72.6289448738098</v>
      </c>
      <c r="F24">
        <v>19</v>
      </c>
      <c r="G24">
        <v>13.3333333333333</v>
      </c>
      <c r="H24">
        <v>13</v>
      </c>
      <c r="I24">
        <v>5</v>
      </c>
      <c r="J24">
        <v>21</v>
      </c>
      <c r="K24">
        <v>1800</v>
      </c>
      <c r="L24">
        <v>4.2179431926140696</v>
      </c>
      <c r="M24">
        <v>2</v>
      </c>
      <c r="N24">
        <v>5.4752028975769296</v>
      </c>
      <c r="O24">
        <v>2.34904200022654</v>
      </c>
      <c r="P24">
        <v>3.6631442047274199</v>
      </c>
      <c r="Q24">
        <v>72.6289448738098</v>
      </c>
      <c r="R24">
        <v>19</v>
      </c>
      <c r="S24">
        <v>41.762962962962902</v>
      </c>
      <c r="T24">
        <v>39</v>
      </c>
      <c r="U24">
        <v>19</v>
      </c>
      <c r="V24">
        <v>67</v>
      </c>
      <c r="W24">
        <v>5638</v>
      </c>
      <c r="X24">
        <v>12.663973703435399</v>
      </c>
      <c r="Y24">
        <f t="shared" si="0"/>
        <v>1.2104824145634967</v>
      </c>
      <c r="Z24">
        <f t="shared" si="1"/>
        <v>4.7536135756736204</v>
      </c>
    </row>
    <row r="25" spans="1:26" x14ac:dyDescent="0.2">
      <c r="Z25">
        <f>AVERAGE(Z5:Z24)</f>
        <v>4.6968616358380348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Katherine Morelli</cp:lastModifiedBy>
  <dcterms:created xsi:type="dcterms:W3CDTF">2023-11-30T22:18:11Z</dcterms:created>
  <dcterms:modified xsi:type="dcterms:W3CDTF">2024-04-12T02:07:57Z</dcterms:modified>
</cp:coreProperties>
</file>