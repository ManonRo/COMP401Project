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2C810327-C095-4389-B6C0-7F58152E23A2}" xr6:coauthVersionLast="45" xr6:coauthVersionMax="45" xr10:uidLastSave="{00000000-0000-0000-0000-000000000000}"/>
  <bookViews>
    <workbookView xWindow="28740" yWindow="480" windowWidth="27285" windowHeight="14550" xr2:uid="{00000000-000D-0000-FFFF-FFFF00000000}"/>
  </bookViews>
  <sheets>
    <sheet name="231107_WT_11_Cell 1_Kar9_6_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2" i="1" l="1"/>
  <c r="L19" i="1" l="1"/>
  <c r="L20" i="1"/>
  <c r="L21" i="1"/>
  <c r="L22" i="1"/>
  <c r="L18" i="1"/>
  <c r="K18" i="1"/>
  <c r="K19" i="1"/>
  <c r="K20" i="1"/>
  <c r="K21" i="1"/>
  <c r="K17" i="1"/>
</calcChain>
</file>

<file path=xl/sharedStrings.xml><?xml version="1.0" encoding="utf-8"?>
<sst xmlns="http://schemas.openxmlformats.org/spreadsheetml/2006/main" count="34" uniqueCount="24">
  <si>
    <t>TRACK_ID</t>
  </si>
  <si>
    <t>POSITION_X</t>
  </si>
  <si>
    <t>POSITION_Y</t>
  </si>
  <si>
    <t>POSITION_Z</t>
  </si>
  <si>
    <t>POSITION_T</t>
  </si>
  <si>
    <t>FRAME</t>
  </si>
  <si>
    <t>MIN_INTENSITY_CH2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</si>
  <si>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</si>
  <si>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</si>
  <si>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</si>
  <si>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</si>
  <si>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</si>
  <si>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</si>
  <si>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</si>
  <si>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</si>
  <si>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Min intensity ch2</t>
  </si>
  <si>
    <t>Max intensity ch2</t>
  </si>
  <si>
    <t>Sum intensity ch2</t>
  </si>
  <si>
    <t>Min ch2</t>
  </si>
  <si>
    <t>Max ch2</t>
  </si>
  <si>
    <t>Sum ch2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</si>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</sst>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A10" workbookViewId="0">
      <selection activeCell="B35" sqref="B35:F3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9" x14ac:dyDescent="0.25">
      <c r="B4" t="s">
        <v>21</v>
      </c>
      <c r="C4" t="s">
        <v>21</v>
      </c>
      <c r="D4" t="s">
        <v>21</v>
      </c>
      <c r="E4" t="s">
        <v>22</v>
      </c>
      <c r="G4" t="s">
        <v>23</v>
      </c>
      <c r="H4" t="s">
        <v>23</v>
      </c>
      <c r="I4" t="s">
        <v>23</v>
      </c>
    </row>
    <row r="5" spans="1:9" x14ac:dyDescent="0.25">
      <c r="A5">
        <v>2</v>
      </c>
      <c r="B5">
        <v>6.6483756528067701</v>
      </c>
      <c r="C5">
        <v>6.1032201142009397</v>
      </c>
      <c r="D5">
        <v>1.77230632320618</v>
      </c>
      <c r="E5">
        <v>0</v>
      </c>
      <c r="F5">
        <v>0</v>
      </c>
      <c r="G5">
        <v>19</v>
      </c>
      <c r="H5">
        <v>47</v>
      </c>
      <c r="I5">
        <v>2893</v>
      </c>
    </row>
    <row r="6" spans="1:9" x14ac:dyDescent="0.25">
      <c r="A6">
        <v>2</v>
      </c>
      <c r="B6">
        <v>6.70996495912736</v>
      </c>
      <c r="C6">
        <v>6.1388195278876498</v>
      </c>
      <c r="D6">
        <v>1.82397756776568</v>
      </c>
      <c r="E6">
        <v>3.8217413425445499</v>
      </c>
      <c r="F6">
        <v>1</v>
      </c>
      <c r="G6">
        <v>9</v>
      </c>
      <c r="H6">
        <v>23</v>
      </c>
      <c r="I6">
        <v>1430</v>
      </c>
    </row>
    <row r="7" spans="1:9" x14ac:dyDescent="0.25">
      <c r="A7">
        <v>2</v>
      </c>
      <c r="B7">
        <v>6.2799991189085302</v>
      </c>
      <c r="C7">
        <v>6.9853944390055496</v>
      </c>
      <c r="D7">
        <v>1.9897615042104</v>
      </c>
      <c r="E7">
        <v>7.6434826850891104</v>
      </c>
      <c r="F7">
        <v>2</v>
      </c>
      <c r="G7">
        <v>9</v>
      </c>
      <c r="H7">
        <v>20</v>
      </c>
      <c r="I7">
        <v>1170</v>
      </c>
    </row>
    <row r="8" spans="1:9" x14ac:dyDescent="0.25">
      <c r="A8">
        <v>2</v>
      </c>
      <c r="B8">
        <v>6.2137777661375502</v>
      </c>
      <c r="C8">
        <v>7.0558807457123001</v>
      </c>
      <c r="D8">
        <v>2.26452515690755</v>
      </c>
      <c r="E8">
        <v>11.465224027633599</v>
      </c>
      <c r="F8">
        <v>3</v>
      </c>
      <c r="G8">
        <v>7</v>
      </c>
      <c r="H8">
        <v>15</v>
      </c>
      <c r="I8">
        <v>884</v>
      </c>
    </row>
    <row r="9" spans="1:9" x14ac:dyDescent="0.25">
      <c r="A9">
        <v>2</v>
      </c>
      <c r="B9">
        <v>6.2510048836851304</v>
      </c>
      <c r="C9">
        <v>6.0840874022730302</v>
      </c>
      <c r="D9">
        <v>2.4230971289759999</v>
      </c>
      <c r="E9">
        <v>15.2869653701782</v>
      </c>
      <c r="F9">
        <v>4</v>
      </c>
      <c r="G9">
        <v>11</v>
      </c>
      <c r="H9">
        <v>24</v>
      </c>
      <c r="I9">
        <v>1379</v>
      </c>
    </row>
    <row r="10" spans="1:9" x14ac:dyDescent="0.25">
      <c r="A10">
        <v>2</v>
      </c>
      <c r="B10">
        <v>6.3176921914498099</v>
      </c>
      <c r="C10">
        <v>5.8030606781744503</v>
      </c>
      <c r="D10">
        <v>2.0029805838328398</v>
      </c>
      <c r="E10">
        <v>19.1087067127227</v>
      </c>
      <c r="F10">
        <v>5</v>
      </c>
      <c r="G10">
        <v>14</v>
      </c>
      <c r="H10">
        <v>29</v>
      </c>
      <c r="I10">
        <v>1833</v>
      </c>
    </row>
    <row r="11" spans="1:9" x14ac:dyDescent="0.25">
      <c r="A11">
        <v>3</v>
      </c>
      <c r="B11">
        <v>6.42603763298274</v>
      </c>
      <c r="C11">
        <v>5.6519482044479403</v>
      </c>
      <c r="D11">
        <v>3.6066351179954799</v>
      </c>
      <c r="E11">
        <v>0</v>
      </c>
      <c r="F11">
        <v>0</v>
      </c>
      <c r="G11">
        <v>63</v>
      </c>
      <c r="H11">
        <v>165</v>
      </c>
      <c r="I11">
        <v>9380</v>
      </c>
    </row>
    <row r="12" spans="1:9" x14ac:dyDescent="0.25">
      <c r="A12">
        <v>3</v>
      </c>
      <c r="B12">
        <v>6.1841862705126802</v>
      </c>
      <c r="C12">
        <v>5.98380453036091</v>
      </c>
      <c r="D12">
        <v>3.77389791839733</v>
      </c>
      <c r="E12">
        <v>3.8217413425445499</v>
      </c>
      <c r="F12">
        <v>1</v>
      </c>
      <c r="G12">
        <v>43</v>
      </c>
      <c r="H12">
        <v>134</v>
      </c>
      <c r="I12">
        <v>7310</v>
      </c>
    </row>
    <row r="13" spans="1:9" x14ac:dyDescent="0.25">
      <c r="A13">
        <v>3</v>
      </c>
      <c r="B13">
        <v>6.2636754836629001</v>
      </c>
      <c r="C13">
        <v>5.9466449373282204</v>
      </c>
      <c r="D13">
        <v>3.7726729199181701</v>
      </c>
      <c r="E13">
        <v>7.6434826850891104</v>
      </c>
      <c r="F13">
        <v>2</v>
      </c>
      <c r="G13">
        <v>62</v>
      </c>
      <c r="H13">
        <v>154</v>
      </c>
      <c r="I13">
        <v>8218</v>
      </c>
    </row>
    <row r="14" spans="1:9" x14ac:dyDescent="0.25">
      <c r="A14">
        <v>3</v>
      </c>
      <c r="B14">
        <v>6.5622652058474404</v>
      </c>
      <c r="C14">
        <v>5.9531947613353102</v>
      </c>
      <c r="D14">
        <v>3.44633065197737</v>
      </c>
      <c r="E14">
        <v>11.465224027633599</v>
      </c>
      <c r="F14">
        <v>3</v>
      </c>
      <c r="G14">
        <v>40</v>
      </c>
      <c r="H14">
        <v>113</v>
      </c>
      <c r="I14">
        <v>6081</v>
      </c>
    </row>
    <row r="15" spans="1:9" x14ac:dyDescent="0.25">
      <c r="A15">
        <v>3</v>
      </c>
      <c r="B15">
        <v>6.2823894507861899</v>
      </c>
      <c r="C15">
        <v>6.0007305382147598</v>
      </c>
      <c r="D15">
        <v>3.3424911789449601</v>
      </c>
      <c r="E15">
        <v>15.2869653701782</v>
      </c>
      <c r="F15">
        <v>4</v>
      </c>
      <c r="G15">
        <v>44</v>
      </c>
      <c r="H15">
        <v>116</v>
      </c>
      <c r="I15">
        <v>6644</v>
      </c>
    </row>
    <row r="16" spans="1:9" x14ac:dyDescent="0.25">
      <c r="A16">
        <v>3</v>
      </c>
      <c r="B16">
        <v>6.3989657222610496</v>
      </c>
      <c r="C16">
        <v>6.2404262094089704</v>
      </c>
      <c r="D16">
        <v>1.5964127307332301</v>
      </c>
      <c r="E16">
        <v>19.1087067127227</v>
      </c>
      <c r="F16">
        <v>5</v>
      </c>
      <c r="G16">
        <v>63</v>
      </c>
      <c r="H16">
        <v>157</v>
      </c>
      <c r="I16">
        <v>8889</v>
      </c>
    </row>
    <row r="17" spans="1:12" x14ac:dyDescent="0.25">
      <c r="A17">
        <v>4</v>
      </c>
      <c r="B17">
        <v>6.4052253305782099</v>
      </c>
      <c r="C17">
        <v>6.7975875659706704</v>
      </c>
      <c r="D17">
        <v>1.47424307601308</v>
      </c>
      <c r="E17">
        <v>0</v>
      </c>
      <c r="F17">
        <v>0</v>
      </c>
      <c r="G17">
        <v>53</v>
      </c>
      <c r="H17">
        <v>131</v>
      </c>
      <c r="I17">
        <v>7708</v>
      </c>
      <c r="K17">
        <f>SQRT((B17-B30)^2+(C17-C30)^2+(D17-D30)^2)</f>
        <v>1.5392199883227997</v>
      </c>
    </row>
    <row r="18" spans="1:12" x14ac:dyDescent="0.25">
      <c r="A18">
        <v>4</v>
      </c>
      <c r="B18">
        <v>6.6205926840243299</v>
      </c>
      <c r="C18">
        <v>6.6130690794381302</v>
      </c>
      <c r="D18">
        <v>1.43158822636409</v>
      </c>
      <c r="E18">
        <v>3.8217413425445499</v>
      </c>
      <c r="F18">
        <v>1</v>
      </c>
      <c r="G18">
        <v>62</v>
      </c>
      <c r="H18">
        <v>211</v>
      </c>
      <c r="I18">
        <v>11173</v>
      </c>
      <c r="K18">
        <f>SQRT((B18-B31)^2+(C18-C31)^2+(D18-D31)^2)</f>
        <v>1.4168872206452341</v>
      </c>
      <c r="L18">
        <f>SQRT((B17-B18)^2+(C17-C18)^2+(D17-D18)^2)</f>
        <v>0.28679191934436221</v>
      </c>
    </row>
    <row r="19" spans="1:12" x14ac:dyDescent="0.25">
      <c r="A19">
        <v>4</v>
      </c>
      <c r="B19">
        <v>6.4665948634251302</v>
      </c>
      <c r="C19">
        <v>6.7296202947252501</v>
      </c>
      <c r="D19">
        <v>1.45162661552468</v>
      </c>
      <c r="E19">
        <v>7.6434826850891104</v>
      </c>
      <c r="F19">
        <v>2</v>
      </c>
      <c r="G19">
        <v>94</v>
      </c>
      <c r="H19">
        <v>298</v>
      </c>
      <c r="I19">
        <v>15815</v>
      </c>
      <c r="K19">
        <f>SQRT((B19-B32)^2+(C19-C32)^2+(D19-D32)^2)</f>
        <v>1.3268966181838058</v>
      </c>
      <c r="L19">
        <f t="shared" ref="L19:L22" si="0">SQRT((B18-B19)^2+(C18-C19)^2+(D18-D19)^2)</f>
        <v>0.19416758631233771</v>
      </c>
    </row>
    <row r="20" spans="1:12" x14ac:dyDescent="0.25">
      <c r="A20">
        <v>4</v>
      </c>
      <c r="B20">
        <v>6.44785266030466</v>
      </c>
      <c r="C20">
        <v>6.75576553477591</v>
      </c>
      <c r="D20">
        <v>1.4374420898657101</v>
      </c>
      <c r="E20">
        <v>11.465224027633599</v>
      </c>
      <c r="F20">
        <v>3</v>
      </c>
      <c r="G20">
        <v>124</v>
      </c>
      <c r="H20">
        <v>330</v>
      </c>
      <c r="I20">
        <v>17088</v>
      </c>
      <c r="K20">
        <f>SQRT((B20-B33)^2+(C20-C33)^2+(D20-D33)^2)</f>
        <v>1.1731619560040769</v>
      </c>
      <c r="L20">
        <f t="shared" si="0"/>
        <v>3.5157424867096984E-2</v>
      </c>
    </row>
    <row r="21" spans="1:12" x14ac:dyDescent="0.25">
      <c r="A21">
        <v>4</v>
      </c>
      <c r="B21">
        <v>6.5092194769495002</v>
      </c>
      <c r="C21">
        <v>6.6935774521021703</v>
      </c>
      <c r="D21">
        <v>1.3976026394166099</v>
      </c>
      <c r="E21">
        <v>15.2869653701782</v>
      </c>
      <c r="F21">
        <v>4</v>
      </c>
      <c r="G21">
        <v>119</v>
      </c>
      <c r="H21">
        <v>297</v>
      </c>
      <c r="I21">
        <v>16208</v>
      </c>
      <c r="K21">
        <f>SQRT((B21-B34)^2+(C21-C34)^2+(D21-D34)^2)</f>
        <v>1.0816727128580639</v>
      </c>
      <c r="L21">
        <f t="shared" si="0"/>
        <v>9.6023047357619518E-2</v>
      </c>
    </row>
    <row r="22" spans="1:12" x14ac:dyDescent="0.25">
      <c r="A22">
        <v>3</v>
      </c>
      <c r="B22">
        <v>6.3989657222610496</v>
      </c>
      <c r="C22">
        <v>6.2404262094089704</v>
      </c>
      <c r="D22">
        <v>1.5964127307332301</v>
      </c>
      <c r="E22">
        <v>19.1087067127227</v>
      </c>
      <c r="F22">
        <v>5</v>
      </c>
      <c r="G22">
        <v>63</v>
      </c>
      <c r="H22">
        <v>157</v>
      </c>
      <c r="I22">
        <v>8889</v>
      </c>
      <c r="K22">
        <f>SQRT((B22-B35)^2+(C22-C35)^2+(D22-D35)^2)</f>
        <v>0.91877941556024822</v>
      </c>
      <c r="L22">
        <f t="shared" si="0"/>
        <v>0.50697868947976032</v>
      </c>
    </row>
    <row r="23" spans="1:12" x14ac:dyDescent="0.25">
      <c r="A23">
        <v>4</v>
      </c>
      <c r="B23">
        <v>5.7564379399128196</v>
      </c>
      <c r="C23">
        <v>6.52324120760791</v>
      </c>
      <c r="D23">
        <v>3.4901058168915</v>
      </c>
      <c r="E23">
        <v>19.1087067127227</v>
      </c>
      <c r="F23">
        <v>5</v>
      </c>
      <c r="G23">
        <v>35</v>
      </c>
      <c r="H23">
        <v>83</v>
      </c>
      <c r="I23">
        <v>4791</v>
      </c>
    </row>
    <row r="24" spans="1:12" x14ac:dyDescent="0.25">
      <c r="A24">
        <v>5</v>
      </c>
      <c r="B24">
        <v>6.6976004713764299</v>
      </c>
      <c r="C24">
        <v>5.8114010981225199</v>
      </c>
      <c r="D24">
        <v>1.89774940935331</v>
      </c>
      <c r="E24">
        <v>3.8217413425445499</v>
      </c>
      <c r="F24">
        <v>1</v>
      </c>
      <c r="G24">
        <v>6</v>
      </c>
      <c r="H24">
        <v>13</v>
      </c>
      <c r="I24">
        <v>741</v>
      </c>
    </row>
    <row r="25" spans="1:12" x14ac:dyDescent="0.25">
      <c r="A25">
        <v>5</v>
      </c>
      <c r="B25">
        <v>6.4018107109587401</v>
      </c>
      <c r="C25">
        <v>5.5670666933799797</v>
      </c>
      <c r="D25">
        <v>1.8302792841969799</v>
      </c>
      <c r="E25">
        <v>7.6434826850891104</v>
      </c>
      <c r="F25">
        <v>2</v>
      </c>
      <c r="G25">
        <v>13</v>
      </c>
      <c r="H25">
        <v>41</v>
      </c>
      <c r="I25">
        <v>2211</v>
      </c>
    </row>
    <row r="26" spans="1:12" x14ac:dyDescent="0.25">
      <c r="A26">
        <v>5</v>
      </c>
      <c r="B26">
        <v>6.3433469594092502</v>
      </c>
      <c r="C26">
        <v>5.7815461329767004</v>
      </c>
      <c r="D26">
        <v>1.5670005606492501</v>
      </c>
      <c r="E26">
        <v>11.465224027633599</v>
      </c>
      <c r="F26">
        <v>3</v>
      </c>
      <c r="G26">
        <v>12</v>
      </c>
      <c r="H26">
        <v>33</v>
      </c>
      <c r="I26">
        <v>1840</v>
      </c>
    </row>
    <row r="27" spans="1:12" x14ac:dyDescent="0.25">
      <c r="A27">
        <v>5</v>
      </c>
      <c r="B27">
        <v>6.4077077253441503</v>
      </c>
      <c r="C27">
        <v>5.8820366887504596</v>
      </c>
      <c r="D27">
        <v>1.5109588820530999</v>
      </c>
      <c r="E27">
        <v>15.2869653701782</v>
      </c>
      <c r="F27">
        <v>4</v>
      </c>
      <c r="G27">
        <v>12</v>
      </c>
      <c r="H27">
        <v>29</v>
      </c>
      <c r="I27">
        <v>1659</v>
      </c>
    </row>
    <row r="30" spans="1:12" x14ac:dyDescent="0.25">
      <c r="B30">
        <v>6.6245743522870804</v>
      </c>
      <c r="C30">
        <v>5.4148322960983801</v>
      </c>
      <c r="D30">
        <v>2.1138304764269802</v>
      </c>
      <c r="E30">
        <v>19.1087067127227</v>
      </c>
      <c r="F30">
        <v>5</v>
      </c>
    </row>
    <row r="31" spans="1:12" x14ac:dyDescent="0.25">
      <c r="B31">
        <v>6.6088627941727101</v>
      </c>
      <c r="C31">
        <v>5.3477495572167504</v>
      </c>
      <c r="D31">
        <v>2.06908200076295</v>
      </c>
      <c r="E31">
        <v>22.930448055267298</v>
      </c>
      <c r="F31">
        <v>6</v>
      </c>
    </row>
    <row r="32" spans="1:12" x14ac:dyDescent="0.25">
      <c r="B32">
        <v>6.2539458993346502</v>
      </c>
      <c r="C32">
        <v>5.5131809141364796</v>
      </c>
      <c r="D32">
        <v>1.9371266533945799</v>
      </c>
      <c r="E32">
        <v>26.752189397811801</v>
      </c>
      <c r="F32">
        <v>7</v>
      </c>
    </row>
    <row r="33" spans="2:6" x14ac:dyDescent="0.25">
      <c r="B33">
        <v>6.1585884634160202</v>
      </c>
      <c r="C33">
        <v>5.6401349382417401</v>
      </c>
      <c r="D33">
        <v>1.6565392634907801</v>
      </c>
      <c r="E33">
        <v>30.573930740356399</v>
      </c>
      <c r="F33">
        <v>8</v>
      </c>
    </row>
    <row r="34" spans="2:6" x14ac:dyDescent="0.25">
      <c r="B34">
        <v>6.1264600571775496</v>
      </c>
      <c r="C34">
        <v>5.7229224834047603</v>
      </c>
      <c r="D34">
        <v>1.68280435059765</v>
      </c>
      <c r="E34">
        <v>34.395672082901001</v>
      </c>
      <c r="F34">
        <v>9</v>
      </c>
    </row>
    <row r="35" spans="2:6" x14ac:dyDescent="0.25">
      <c r="B35">
        <v>6.3992949922528002</v>
      </c>
      <c r="C35">
        <v>5.4209734237255702</v>
      </c>
      <c r="D35">
        <v>2.0119276378956799</v>
      </c>
      <c r="E35">
        <v>38.2174134254455</v>
      </c>
      <c r="F3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231107_WT_11_Cell 1_Kar9_6_11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2024-05-25T15:03:49Z</dcterms:created>
  <dcterms:modified xsi:type="dcterms:W3CDTF">2024-06-12T19:33:41Z</dcterms:modified>
</cp:coreProperties>
</file>