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9A1C05DF-5E99-40C4-B5B6-869D352682BD}" xr6:coauthVersionLast="45" xr6:coauthVersionMax="45" xr10:uidLastSave="{00000000-0000-0000-0000-000000000000}"/>
  <bookViews>
    <workbookView xWindow="33255" yWindow="660" windowWidth="22080" windowHeight="14235" xr2:uid="{00000000-000D-0000-FFFF-FFFF00000000}"/>
  </bookViews>
  <sheets>
    <sheet name="231107_WT_9_Cell 3_Kar9_1_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8" i="1" l="1"/>
  <c r="L7" i="1"/>
  <c r="L6" i="1"/>
  <c r="M6" i="1"/>
  <c r="M10" i="1" l="1"/>
  <c r="L9" i="1"/>
  <c r="L10" i="1"/>
  <c r="K6" i="1"/>
  <c r="M7" i="1" s="1"/>
  <c r="K7" i="1"/>
  <c r="M8" i="1" s="1"/>
  <c r="K8" i="1"/>
  <c r="M9" i="1" s="1"/>
  <c r="K9" i="1"/>
  <c r="K10" i="1"/>
  <c r="K5" i="1"/>
</calcChain>
</file>

<file path=xl/sharedStrings.xml><?xml version="1.0" encoding="utf-8"?>
<sst xmlns="http://schemas.openxmlformats.org/spreadsheetml/2006/main" count="35" uniqueCount="25">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</sst>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'231107_WT_9_Cell 3_Kar9_1_6'!$E$5:$E$10</c:f>
              <c:numCache>
                <c:formatCode>General</c:formatCode>
                <c:ptCount val="6"/>
                <c:pt idx="0">
                  <c:v>0</c:v>
                </c:pt>
                <c:pt idx="1">
                  <c:v>3.8225781917571999</c:v>
                </c:pt>
                <c:pt idx="2">
                  <c:v>7.6451563835143999</c:v>
                </c:pt>
                <c:pt idx="3">
                  <c:v>11.467734575271599</c:v>
                </c:pt>
                <c:pt idx="4">
                  <c:v>15.2903127670288</c:v>
                </c:pt>
                <c:pt idx="5">
                  <c:v>19.112890958786</c:v>
                </c:pt>
              </c:numCache>
            </c:numRef>
          </c:xVal>
          <c:yVal>
            <c:numRef>
              <c:f>'231107_WT_9_Cell 3_Kar9_1_6'!$K$5:$K$10</c:f>
              <c:numCache>
                <c:formatCode>General</c:formatCode>
                <c:ptCount val="6"/>
                <c:pt idx="0">
                  <c:v>2.0816852638782035</c:v>
                </c:pt>
                <c:pt idx="1">
                  <c:v>2.0415808242628297</c:v>
                </c:pt>
                <c:pt idx="2">
                  <c:v>1.9468963482311215</c:v>
                </c:pt>
                <c:pt idx="3">
                  <c:v>1.888306032284004</c:v>
                </c:pt>
                <c:pt idx="4">
                  <c:v>1.6394510731773764</c:v>
                </c:pt>
                <c:pt idx="5">
                  <c:v>1.6931981961340286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D-423E-8473-499E2AAC8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673496"/>
        <c:axId val="593673824"/>
      </c:scatterChart>
      <c:valAx>
        <c:axId val="59367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673824"/>
        <c:crosses val="autoZero"/>
        <c:crossBetween val="midCat"/>
      </c:valAx>
      <c:valAx>
        <c:axId val="59367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673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11</xdr:row>
      <xdr:rowOff>42863</xdr:rowOff>
    </xdr:from>
    <xdr:to>
      <xdr:col>13</xdr:col>
      <xdr:colOff>76200</xdr:colOff>
      <xdr:row>19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FF0FD-29D6-4A1E-94BB-C04435047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P26" sqref="P2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3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13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13" x14ac:dyDescent="0.25">
      <c r="A5">
        <v>0</v>
      </c>
      <c r="B5">
        <v>4.4010791396584299</v>
      </c>
      <c r="C5">
        <v>0.372779738719628</v>
      </c>
      <c r="D5">
        <v>2.5128029674641699</v>
      </c>
      <c r="E5">
        <v>0</v>
      </c>
      <c r="F5">
        <v>0</v>
      </c>
      <c r="G5">
        <v>57</v>
      </c>
      <c r="H5">
        <v>167</v>
      </c>
      <c r="I5">
        <v>9436</v>
      </c>
      <c r="K5">
        <f>SQRT((B5-B26)^2+(C5-C26)^2+(D5-D26)^2)</f>
        <v>2.0816852638782035</v>
      </c>
    </row>
    <row r="6" spans="1:13" x14ac:dyDescent="0.25">
      <c r="A6">
        <v>0</v>
      </c>
      <c r="B6">
        <v>4.2304599787161896</v>
      </c>
      <c r="C6">
        <v>0.28391367745347201</v>
      </c>
      <c r="D6">
        <v>2.7304654996358999</v>
      </c>
      <c r="E6">
        <v>3.8225781917571999</v>
      </c>
      <c r="F6">
        <v>1</v>
      </c>
      <c r="G6">
        <v>70</v>
      </c>
      <c r="H6">
        <v>186</v>
      </c>
      <c r="I6">
        <v>10360</v>
      </c>
      <c r="K6">
        <f t="shared" ref="K6:K10" si="0">SQRT((B6-B27)^2+(C6-C27)^2+(D6-D27)^2)</f>
        <v>2.0415808242628297</v>
      </c>
      <c r="L6">
        <f>SQRT((B5-B6)^2+(C5-C6)^2+(D5-D6)^2)</f>
        <v>0.29049105465918168</v>
      </c>
      <c r="M6">
        <f>K5-K6</f>
        <v>4.0104439615373799E-2</v>
      </c>
    </row>
    <row r="7" spans="1:13" x14ac:dyDescent="0.25">
      <c r="A7">
        <v>0</v>
      </c>
      <c r="B7">
        <v>4.1966271799082699</v>
      </c>
      <c r="C7">
        <v>0.33614181313501101</v>
      </c>
      <c r="D7">
        <v>2.6031018877934202</v>
      </c>
      <c r="E7">
        <v>7.6451563835143999</v>
      </c>
      <c r="F7">
        <v>2</v>
      </c>
      <c r="G7">
        <v>54</v>
      </c>
      <c r="H7">
        <v>128</v>
      </c>
      <c r="I7">
        <v>7055</v>
      </c>
      <c r="K7">
        <f t="shared" si="0"/>
        <v>1.9468963482311215</v>
      </c>
      <c r="L7">
        <f>SQRT((B6-B7)^2+(C6-C7)^2+(D6-D7)^2)</f>
        <v>0.14175304601139352</v>
      </c>
      <c r="M7">
        <f t="shared" ref="M7:M10" si="1">K6-K7</f>
        <v>9.4684476031708265E-2</v>
      </c>
    </row>
    <row r="8" spans="1:13" x14ac:dyDescent="0.25">
      <c r="A8">
        <v>0</v>
      </c>
      <c r="B8">
        <v>4.2871750504522703</v>
      </c>
      <c r="C8">
        <v>0.45433297877859302</v>
      </c>
      <c r="D8">
        <v>2.5738513725967098</v>
      </c>
      <c r="E8">
        <v>11.467734575271599</v>
      </c>
      <c r="F8">
        <v>3</v>
      </c>
      <c r="G8">
        <v>49</v>
      </c>
      <c r="H8">
        <v>115</v>
      </c>
      <c r="I8">
        <v>6467</v>
      </c>
      <c r="K8">
        <f t="shared" si="0"/>
        <v>1.888306032284004</v>
      </c>
      <c r="L8">
        <f>SQRT((B7-B8)^2+(C7-C8)^2+(D7-D8)^2)</f>
        <v>0.15173549728232574</v>
      </c>
      <c r="M8">
        <f t="shared" si="1"/>
        <v>5.8590315947117499E-2</v>
      </c>
    </row>
    <row r="9" spans="1:13" x14ac:dyDescent="0.25">
      <c r="A9">
        <v>0</v>
      </c>
      <c r="B9">
        <v>5.417084561217</v>
      </c>
      <c r="C9">
        <v>1.3970051384231099</v>
      </c>
      <c r="D9">
        <v>2.2419378926752702</v>
      </c>
      <c r="E9">
        <v>15.2903127670288</v>
      </c>
      <c r="F9">
        <v>4</v>
      </c>
      <c r="G9">
        <v>45</v>
      </c>
      <c r="H9">
        <v>101</v>
      </c>
      <c r="I9">
        <v>5639</v>
      </c>
      <c r="K9">
        <f t="shared" si="0"/>
        <v>1.6394510731773764</v>
      </c>
      <c r="L9">
        <f t="shared" ref="L7:L10" si="2">SQRT((B8-B9)^2+(C8-C9)^2+(D8-D9)^2)</f>
        <v>1.5084736859617431</v>
      </c>
      <c r="M9">
        <f t="shared" si="1"/>
        <v>0.24885495910662758</v>
      </c>
    </row>
    <row r="10" spans="1:13" x14ac:dyDescent="0.25">
      <c r="A10">
        <v>0</v>
      </c>
      <c r="B10">
        <v>5.51247741442271</v>
      </c>
      <c r="C10">
        <v>0.95731516698277197</v>
      </c>
      <c r="D10">
        <v>2.6020409544515899</v>
      </c>
      <c r="E10">
        <v>19.112890958786</v>
      </c>
      <c r="F10">
        <v>5</v>
      </c>
      <c r="G10">
        <v>62</v>
      </c>
      <c r="H10">
        <v>174</v>
      </c>
      <c r="I10">
        <v>9511</v>
      </c>
      <c r="K10">
        <f t="shared" si="0"/>
        <v>1.6931981961340286</v>
      </c>
      <c r="L10">
        <f t="shared" si="2"/>
        <v>0.5762822941307596</v>
      </c>
      <c r="M10">
        <f t="shared" si="1"/>
        <v>-5.3747122956652182E-2</v>
      </c>
    </row>
    <row r="11" spans="1:13" x14ac:dyDescent="0.25">
      <c r="A11">
        <v>1</v>
      </c>
      <c r="B11">
        <v>4.3627399072093596</v>
      </c>
      <c r="C11">
        <v>0.76910784204023597</v>
      </c>
      <c r="D11">
        <v>3.0769821930815802</v>
      </c>
      <c r="E11">
        <v>0</v>
      </c>
      <c r="F11">
        <v>0</v>
      </c>
      <c r="G11">
        <v>11</v>
      </c>
      <c r="H11">
        <v>24</v>
      </c>
      <c r="I11">
        <v>1401</v>
      </c>
    </row>
    <row r="12" spans="1:13" x14ac:dyDescent="0.25">
      <c r="A12">
        <v>1</v>
      </c>
      <c r="B12">
        <v>4.1844653238298397</v>
      </c>
      <c r="C12">
        <v>0.53249869330579602</v>
      </c>
      <c r="D12">
        <v>3.0882198925151001</v>
      </c>
      <c r="E12">
        <v>3.8225781917571999</v>
      </c>
      <c r="F12">
        <v>1</v>
      </c>
      <c r="G12">
        <v>19</v>
      </c>
      <c r="H12">
        <v>46</v>
      </c>
      <c r="I12">
        <v>2665</v>
      </c>
    </row>
    <row r="13" spans="1:13" x14ac:dyDescent="0.25">
      <c r="A13">
        <v>1</v>
      </c>
      <c r="B13">
        <v>4.1658176355240597</v>
      </c>
      <c r="C13">
        <v>0.63322907787574301</v>
      </c>
      <c r="D13">
        <v>3.2102637309833999</v>
      </c>
      <c r="E13">
        <v>7.6451563835143999</v>
      </c>
      <c r="F13">
        <v>2</v>
      </c>
      <c r="G13">
        <v>7</v>
      </c>
      <c r="H13">
        <v>13</v>
      </c>
      <c r="I13">
        <v>819</v>
      </c>
    </row>
    <row r="14" spans="1:13" x14ac:dyDescent="0.25">
      <c r="A14">
        <v>1</v>
      </c>
      <c r="B14">
        <v>4.3511134436696297</v>
      </c>
      <c r="C14">
        <v>0.78257436037223704</v>
      </c>
      <c r="D14">
        <v>3.1</v>
      </c>
      <c r="E14">
        <v>11.467734575271599</v>
      </c>
      <c r="F14">
        <v>3</v>
      </c>
      <c r="G14">
        <v>8</v>
      </c>
      <c r="H14">
        <v>20</v>
      </c>
      <c r="I14">
        <v>1183</v>
      </c>
    </row>
    <row r="15" spans="1:13" x14ac:dyDescent="0.25">
      <c r="A15">
        <v>3</v>
      </c>
      <c r="B15">
        <v>4.0291700196584497</v>
      </c>
      <c r="C15">
        <v>1.70742494659803</v>
      </c>
      <c r="D15">
        <v>3.7873653387083301</v>
      </c>
      <c r="E15">
        <v>0</v>
      </c>
      <c r="F15">
        <v>0</v>
      </c>
      <c r="G15">
        <v>23</v>
      </c>
      <c r="H15">
        <v>55</v>
      </c>
      <c r="I15">
        <v>3221</v>
      </c>
    </row>
    <row r="16" spans="1:13" x14ac:dyDescent="0.25">
      <c r="A16">
        <v>3</v>
      </c>
      <c r="B16">
        <v>4.0582124538181299</v>
      </c>
      <c r="C16">
        <v>1.8914753232002</v>
      </c>
      <c r="D16">
        <v>3.8266960842132098</v>
      </c>
      <c r="E16">
        <v>3.8225781917571999</v>
      </c>
      <c r="F16">
        <v>1</v>
      </c>
      <c r="G16">
        <v>30</v>
      </c>
      <c r="H16">
        <v>95</v>
      </c>
      <c r="I16">
        <v>5163</v>
      </c>
    </row>
    <row r="17" spans="1:16" x14ac:dyDescent="0.25">
      <c r="A17">
        <v>3</v>
      </c>
      <c r="B17">
        <v>4.6388871529562197</v>
      </c>
      <c r="C17">
        <v>2.1591355274669102</v>
      </c>
      <c r="D17">
        <v>3.9692556301762001</v>
      </c>
      <c r="E17">
        <v>7.6451563835143999</v>
      </c>
      <c r="F17">
        <v>2</v>
      </c>
      <c r="G17">
        <v>16</v>
      </c>
      <c r="H17">
        <v>69</v>
      </c>
      <c r="I17">
        <v>3235</v>
      </c>
    </row>
    <row r="18" spans="1:16" x14ac:dyDescent="0.25">
      <c r="A18">
        <v>3</v>
      </c>
      <c r="B18">
        <v>4.4284992725079704</v>
      </c>
      <c r="C18">
        <v>1.33038034938545</v>
      </c>
      <c r="D18">
        <v>3.7909871265693602</v>
      </c>
      <c r="E18">
        <v>11.467734575271599</v>
      </c>
      <c r="F18">
        <v>3</v>
      </c>
      <c r="G18">
        <v>15</v>
      </c>
      <c r="H18">
        <v>33</v>
      </c>
      <c r="I18">
        <v>2040</v>
      </c>
      <c r="P18" t="s">
        <v>24</v>
      </c>
    </row>
    <row r="19" spans="1:16" x14ac:dyDescent="0.25">
      <c r="A19">
        <v>3</v>
      </c>
      <c r="B19">
        <v>4.6157717056708396</v>
      </c>
      <c r="C19">
        <v>1.27496843286797</v>
      </c>
      <c r="D19">
        <v>3.8057988910561602</v>
      </c>
      <c r="E19">
        <v>15.2903127670288</v>
      </c>
      <c r="F19">
        <v>4</v>
      </c>
      <c r="G19">
        <v>30</v>
      </c>
      <c r="H19">
        <v>84</v>
      </c>
      <c r="I19">
        <v>4695</v>
      </c>
    </row>
    <row r="20" spans="1:16" x14ac:dyDescent="0.25">
      <c r="A20">
        <v>3</v>
      </c>
      <c r="B20">
        <v>4.8201832469094601</v>
      </c>
      <c r="C20">
        <v>1.6629669440338699</v>
      </c>
      <c r="D20">
        <v>3.3102035146740101</v>
      </c>
      <c r="E20">
        <v>19.112890958786</v>
      </c>
      <c r="F20">
        <v>5</v>
      </c>
      <c r="G20">
        <v>6</v>
      </c>
      <c r="H20">
        <v>16</v>
      </c>
      <c r="I20">
        <v>898</v>
      </c>
    </row>
    <row r="21" spans="1:16" x14ac:dyDescent="0.25">
      <c r="A21">
        <v>9</v>
      </c>
      <c r="B21">
        <v>4.1583449716818297</v>
      </c>
      <c r="C21">
        <v>1.5212375892233501</v>
      </c>
      <c r="D21">
        <v>3.09260315522689</v>
      </c>
      <c r="E21">
        <v>11.467734575271599</v>
      </c>
      <c r="F21">
        <v>3</v>
      </c>
      <c r="G21">
        <v>11</v>
      </c>
      <c r="H21">
        <v>28</v>
      </c>
      <c r="I21">
        <v>1651</v>
      </c>
    </row>
    <row r="22" spans="1:16" x14ac:dyDescent="0.25">
      <c r="A22">
        <v>9</v>
      </c>
      <c r="B22">
        <v>5.0122060171130203</v>
      </c>
      <c r="C22">
        <v>1.56379527199929</v>
      </c>
      <c r="D22">
        <v>2.7431221184168799</v>
      </c>
      <c r="E22">
        <v>15.2903127670288</v>
      </c>
      <c r="F22">
        <v>4</v>
      </c>
      <c r="G22">
        <v>12</v>
      </c>
      <c r="H22">
        <v>33</v>
      </c>
      <c r="I22">
        <v>1889</v>
      </c>
    </row>
    <row r="23" spans="1:16" x14ac:dyDescent="0.25">
      <c r="A23">
        <v>9</v>
      </c>
      <c r="B23">
        <v>5.1670207874483802</v>
      </c>
      <c r="C23">
        <v>1.28810864860409</v>
      </c>
      <c r="D23">
        <v>3.33436936139588</v>
      </c>
      <c r="E23">
        <v>19.112890958786</v>
      </c>
      <c r="F23">
        <v>5</v>
      </c>
      <c r="G23">
        <v>23</v>
      </c>
      <c r="H23">
        <v>58</v>
      </c>
      <c r="I23">
        <v>3253</v>
      </c>
    </row>
    <row r="26" spans="1:16" x14ac:dyDescent="0.25">
      <c r="B26">
        <v>4.0265253348652603</v>
      </c>
      <c r="C26">
        <v>2.2759218224618598</v>
      </c>
      <c r="D26">
        <v>3.2685629784808299</v>
      </c>
      <c r="E26">
        <v>0</v>
      </c>
      <c r="F26">
        <v>0</v>
      </c>
    </row>
    <row r="27" spans="1:16" x14ac:dyDescent="0.25">
      <c r="B27">
        <v>3.9195567167119201</v>
      </c>
      <c r="C27">
        <v>2.25872179424768</v>
      </c>
      <c r="D27">
        <v>3.1446204531454698</v>
      </c>
      <c r="E27">
        <v>3.8225781917571999</v>
      </c>
      <c r="F27">
        <v>1</v>
      </c>
    </row>
    <row r="28" spans="1:16" x14ac:dyDescent="0.25">
      <c r="B28">
        <v>3.9877036576468399</v>
      </c>
      <c r="C28">
        <v>2.1929108155782102</v>
      </c>
      <c r="D28">
        <v>3.1500618718577398</v>
      </c>
      <c r="E28">
        <v>7.6451563835143999</v>
      </c>
      <c r="F28">
        <v>2</v>
      </c>
    </row>
    <row r="29" spans="1:16" x14ac:dyDescent="0.25">
      <c r="B29">
        <v>4.0269784791858401</v>
      </c>
      <c r="C29">
        <v>2.1959573721127899</v>
      </c>
      <c r="D29">
        <v>3.2555711745715699</v>
      </c>
      <c r="E29">
        <v>11.467734575271599</v>
      </c>
      <c r="F29">
        <v>3</v>
      </c>
    </row>
    <row r="30" spans="1:16" x14ac:dyDescent="0.25">
      <c r="B30">
        <v>4.2822776077959599</v>
      </c>
      <c r="C30">
        <v>2.1557470617268999</v>
      </c>
      <c r="D30">
        <v>3.1498606281715098</v>
      </c>
      <c r="E30">
        <v>15.2903127670288</v>
      </c>
      <c r="F30">
        <v>4</v>
      </c>
    </row>
    <row r="31" spans="1:16" x14ac:dyDescent="0.25">
      <c r="B31">
        <v>4.3560233169495701</v>
      </c>
      <c r="C31">
        <v>2.1173096618906602</v>
      </c>
      <c r="D31">
        <v>3.03093117771683</v>
      </c>
      <c r="E31">
        <v>19.112890958786</v>
      </c>
      <c r="F31">
        <v>5</v>
      </c>
    </row>
    <row r="32" spans="1:16" x14ac:dyDescent="0.25">
      <c r="B32">
        <v>4.4280977754445701</v>
      </c>
      <c r="C32">
        <v>2.0949846971698101</v>
      </c>
      <c r="D32">
        <v>2.9493918013850302</v>
      </c>
      <c r="E32">
        <v>22.935469150543199</v>
      </c>
      <c r="F32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231107_WT_9_Cell 3_Kar9_1_6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2024-05-24T15:55:07Z</dcterms:created>
  <dcterms:modified xsi:type="dcterms:W3CDTF">2024-12-11T03:10:44Z</dcterms:modified>
</cp:coreProperties>
</file>