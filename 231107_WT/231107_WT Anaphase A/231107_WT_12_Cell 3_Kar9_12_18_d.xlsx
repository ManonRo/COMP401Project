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14F9234B-382F-45A4-912E-1211C31FB766}" xr6:coauthVersionLast="45" xr6:coauthVersionMax="45" xr10:uidLastSave="{00000000-0000-0000-0000-000000000000}"/>
  <bookViews>
    <workbookView xWindow="360" yWindow="390" windowWidth="27285" windowHeight="14550" xr2:uid="{00000000-000D-0000-FFFF-FFFF00000000}"/>
  </bookViews>
  <sheets>
    <sheet name="231107_WT_12_Cell 3_Kar9_12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6" i="1" l="1"/>
  <c r="AB7" i="1"/>
  <c r="AB8" i="1"/>
  <c r="AB5" i="1"/>
  <c r="AA9" i="1" l="1"/>
  <c r="R9" i="1"/>
  <c r="Q9" i="1"/>
  <c r="AA7" i="1" l="1"/>
  <c r="AA8" i="1"/>
  <c r="AA6" i="1"/>
  <c r="Z7" i="1" l="1"/>
  <c r="Z8" i="1"/>
  <c r="Z5" i="1"/>
  <c r="Y7" i="1"/>
  <c r="Y8" i="1"/>
  <c r="Y5" i="1"/>
  <c r="X7" i="1"/>
  <c r="X8" i="1"/>
  <c r="X5" i="1"/>
  <c r="W7" i="1"/>
  <c r="W8" i="1"/>
  <c r="W5" i="1"/>
  <c r="V7" i="1" l="1"/>
  <c r="V8" i="1"/>
  <c r="V5" i="1"/>
  <c r="U5" i="1" l="1"/>
  <c r="T5" i="1"/>
  <c r="S5" i="1" l="1"/>
  <c r="Q5" i="1" l="1"/>
  <c r="Q6" i="1"/>
  <c r="Q7" i="1"/>
  <c r="Q8" i="1"/>
  <c r="R6" i="1" l="1"/>
  <c r="R7" i="1"/>
  <c r="R8" i="1"/>
</calcChain>
</file>

<file path=xl/sharedStrings.xml><?xml version="1.0" encoding="utf-8"?>
<sst xmlns="http://schemas.openxmlformats.org/spreadsheetml/2006/main" count="33" uniqueCount="25">
  <si>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</si>
  <si>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</si>
  <si>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</si>
  <si>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</si>
  <si>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</si>
  <si>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</si>
  <si>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</si>
  <si>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</si>
  <si>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</si>
  <si>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</si>
  <si>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</si>
  <si>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</si>
  <si>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</si>
  <si>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</si>
  <si>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</si>
  <si>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</si>
  <si>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</si>
  <si>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</si>
  <si>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</si>
  <si>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>mt length change overall</t>
  </si>
  <si>
    <t>SPB movement overall</t>
  </si>
  <si>
    <t>Spindle midpoint</t>
  </si>
  <si>
    <t>Spindle midpoint distance to anchored Kar9</t>
  </si>
  <si>
    <t>Instantaneous mt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</si>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</sst>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"/>
                  <c:y val="0.17345945393189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'231107_WT_12_Cell 3_Kar9_12_20'!$D$5:$D$8</c:f>
              <c:numCache>
                <c:formatCode>General</c:formatCode>
                <c:ptCount val="4"/>
                <c:pt idx="0">
                  <c:v>7.6451520919799796</c:v>
                </c:pt>
                <c:pt idx="1">
                  <c:v>11.4677281379699</c:v>
                </c:pt>
                <c:pt idx="2">
                  <c:v>15.290304183959901</c:v>
                </c:pt>
                <c:pt idx="3">
                  <c:v>19.112880229949901</c:v>
                </c:pt>
              </c:numCache>
            </c:numRef>
          </c:xVal>
          <c:yVal>
            <c:numRef>
              <c:f>'231107_WT_12_Cell 3_Kar9_12_20'!$Q$5:$Q$8</c:f>
              <c:numCache>
                <c:formatCode>General</c:formatCode>
                <c:ptCount val="4"/>
                <c:pt idx="0">
                  <c:v>2.3268977374242508</c:v>
                </c:pt>
                <c:pt idx="1">
                  <c:v>2.2718078630072598</c:v>
                </c:pt>
                <c:pt idx="2">
                  <c:v>2.1440971619136229</c:v>
                </c:pt>
                <c:pt idx="3">
                  <c:v>1.9362059553429405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A-4C87-A66E-B853F3CBC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54816"/>
        <c:axId val="522755144"/>
      </c:scatterChart>
      <c:valAx>
        <c:axId val="5227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55144"/>
        <c:crosses val="autoZero"/>
        <c:crossBetween val="midCat"/>
      </c:valAx>
      <c:valAx>
        <c:axId val="52275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5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'231107_WT_12_Cell 3_Kar9_12_20'!$D$5:$D$8</c:f>
              <c:numCache>
                <c:formatCode>General</c:formatCode>
                <c:ptCount val="4"/>
                <c:pt idx="0">
                  <c:v>7.6451520919799796</c:v>
                </c:pt>
                <c:pt idx="1">
                  <c:v>11.4677281379699</c:v>
                </c:pt>
                <c:pt idx="2">
                  <c:v>15.290304183959901</c:v>
                </c:pt>
                <c:pt idx="3">
                  <c:v>19.112880229949901</c:v>
                </c:pt>
              </c:numCache>
            </c:numRef>
          </c:xVal>
          <c:yVal>
            <c:numRef>
              <c:f>'231107_WT_12_Cell 3_Kar9_12_20'!$R$5:$R$8</c:f>
              <c:numCache>
                <c:formatCode>General</c:formatCode>
                <c:ptCount val="4"/>
                <c:pt idx="1">
                  <c:v>6.5467431931934689E-2</c:v>
                </c:pt>
                <c:pt idx="2">
                  <c:v>8.7040145367076202E-2</c:v>
                </c:pt>
                <c:pt idx="3">
                  <c:v>0.15610622213822803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3-4FA2-8716-11F7E240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157856"/>
        <c:axId val="650158184"/>
      </c:scatterChart>
      <c:valAx>
        <c:axId val="65015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58184"/>
        <c:crosses val="autoZero"/>
        <c:crossBetween val="midCat"/>
      </c:valAx>
      <c:valAx>
        <c:axId val="65015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5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336767279090112"/>
                  <c:y val="5.70570866141733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'231107_WT_12_Cell 3_Kar9_12_20'!$D$5:$D$8</c:f>
              <c:numCache>
                <c:formatCode>General</c:formatCode>
                <c:ptCount val="4"/>
                <c:pt idx="0">
                  <c:v>7.6451520919799796</c:v>
                </c:pt>
                <c:pt idx="1">
                  <c:v>11.4677281379699</c:v>
                </c:pt>
                <c:pt idx="2">
                  <c:v>15.290304183959901</c:v>
                </c:pt>
                <c:pt idx="3">
                  <c:v>19.112880229949901</c:v>
                </c:pt>
              </c:numCache>
            </c:numRef>
          </c:xVal>
          <c:yVal>
            <c:numRef>
              <c:f>'231107_WT_12_Cell 3_Kar9_12_20'!$V$5:$V$8</c:f>
              <c:numCache>
                <c:formatCode>General</c:formatCode>
                <c:ptCount val="4"/>
                <c:pt idx="0">
                  <c:v>4.1727300845700199</c:v>
                </c:pt>
                <c:pt idx="2">
                  <c:v>4.1053978448313524</c:v>
                </c:pt>
                <c:pt idx="3">
                  <c:v>3.8496393049521269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E-4E6A-82D6-31B53A13B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681432"/>
        <c:axId val="451681760"/>
      </c:scatterChart>
      <c:valAx>
        <c:axId val="451681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81760"/>
        <c:crosses val="autoZero"/>
        <c:crossBetween val="midCat"/>
      </c:valAx>
      <c:valAx>
        <c:axId val="4516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81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'231107_WT_12_Cell 3_Kar9_12_20'!$D$5:$D$8</c:f>
              <c:numCache>
                <c:formatCode>General</c:formatCode>
                <c:ptCount val="4"/>
                <c:pt idx="0">
                  <c:v>7.6451520919799796</c:v>
                </c:pt>
                <c:pt idx="1">
                  <c:v>11.4677281379699</c:v>
                </c:pt>
                <c:pt idx="2">
                  <c:v>15.290304183959901</c:v>
                </c:pt>
                <c:pt idx="3">
                  <c:v>19.112880229949901</c:v>
                </c:pt>
              </c:numCache>
            </c:numRef>
          </c:xVal>
          <c:yVal>
            <c:numRef>
              <c:f>'231107_WT_12_Cell 3_Kar9_12_20'!$Z$5:$Z$8</c:f>
              <c:numCache>
                <c:formatCode>General</c:formatCode>
                <c:ptCount val="4"/>
                <c:pt idx="0">
                  <c:v>3.6606485641817414</c:v>
                </c:pt>
                <c:pt idx="2">
                  <c:v>3.5208910261444113</c:v>
                </c:pt>
                <c:pt idx="3">
                  <c:v>3.4009247597931607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A-4D7D-B3AD-B5F6C28CF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033696"/>
        <c:axId val="631031072"/>
      </c:scatterChart>
      <c:valAx>
        <c:axId val="63103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31072"/>
        <c:crosses val="autoZero"/>
        <c:crossBetween val="midCat"/>
      </c:valAx>
      <c:valAx>
        <c:axId val="6310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3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247650</xdr:colOff>
      <xdr:row>13</xdr:row>
      <xdr:rowOff>123825</xdr:rowOff>
    </xdr:from>
    <xdr:to>
      <xdr:col>22</xdr:col>
      <xdr:colOff>133350</xdr:colOff>
      <xdr:row>21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7E91B-A6A3-4A81-BCF8-54F7DFB5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590551</xdr:colOff>
      <xdr:row>22</xdr:row>
      <xdr:rowOff>57151</xdr:rowOff>
    </xdr:from>
    <xdr:to>
      <xdr:col>21</xdr:col>
      <xdr:colOff>457200</xdr:colOff>
      <xdr:row>30</xdr:row>
      <xdr:rowOff>133351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A7061D-26F0-4F6A-99A8-3D95904D5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190500</xdr:colOff>
      <xdr:row>25</xdr:row>
      <xdr:rowOff>100012</xdr:rowOff>
    </xdr:from>
    <xdr:to>
      <xdr:col>29</xdr:col>
      <xdr:colOff>495300</xdr:colOff>
      <xdr:row>39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D2C9F5-40E4-4FF5-B09D-CEA11F559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590550</xdr:colOff>
      <xdr:row>23</xdr:row>
      <xdr:rowOff>157162</xdr:rowOff>
    </xdr:from>
    <xdr:to>
      <xdr:col>16</xdr:col>
      <xdr:colOff>285750</xdr:colOff>
      <xdr:row>38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4E7DE9-00D8-45BC-A0E4-83FB1C794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"/>
  <sheetViews>
    <sheetView tabSelected="1" topLeftCell="F1" workbookViewId="0">
      <selection activeCell="Q14" sqref="Q1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28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28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T4" t="s">
        <v>19</v>
      </c>
      <c r="U4" t="s">
        <v>20</v>
      </c>
      <c r="W4" t="s">
        <v>21</v>
      </c>
      <c r="Z4" t="s">
        <v>22</v>
      </c>
      <c r="AA4" t="s">
        <v>23</v>
      </c>
      <c r="AB4" t="s">
        <v>24</v>
      </c>
    </row>
    <row r="5" spans="1:28" x14ac:dyDescent="0.25">
      <c r="A5">
        <v>4.6551522160116896</v>
      </c>
      <c r="B5">
        <v>0.98838407539235595</v>
      </c>
      <c r="C5">
        <v>3.2392569679115302</v>
      </c>
      <c r="D5">
        <v>7.6451520919799796</v>
      </c>
      <c r="E5">
        <v>2</v>
      </c>
      <c r="F5">
        <v>113</v>
      </c>
      <c r="G5">
        <v>6493</v>
      </c>
      <c r="H5">
        <v>4.5637727518205704</v>
      </c>
      <c r="I5">
        <v>3.1949111128965</v>
      </c>
      <c r="J5">
        <v>2.50622128889077</v>
      </c>
      <c r="K5">
        <v>49.693488597869802</v>
      </c>
      <c r="L5">
        <v>13</v>
      </c>
      <c r="M5">
        <v>4.4651594940031103</v>
      </c>
      <c r="N5">
        <v>4.9975015267033296</v>
      </c>
      <c r="O5">
        <v>2.0979610440366998</v>
      </c>
      <c r="Q5">
        <f>SQRT((A5-H5)^2+(B5-I5)^2+(C5-J5)^2)</f>
        <v>2.3268977374242508</v>
      </c>
      <c r="S5">
        <f>K8-K5</f>
        <v>11.467728137969999</v>
      </c>
      <c r="T5">
        <f>Q5-Q8</f>
        <v>0.39069178208131028</v>
      </c>
      <c r="U5">
        <f>SQRT((H5-H8)^2+(I5-I8)^2+(J5-J8)^2)</f>
        <v>0.29645309654799201</v>
      </c>
      <c r="V5">
        <f>SQRT((A5-M5)^2+(B5-N5)^2+(C5-O5)^2)</f>
        <v>4.1727300845700199</v>
      </c>
      <c r="W5">
        <f>AVERAGE(H5,M5)</f>
        <v>4.5144661229118404</v>
      </c>
      <c r="X5">
        <f>AVERAGE(I5,N5)</f>
        <v>4.096206319799915</v>
      </c>
      <c r="Y5">
        <f>AVERAGE(J5,O5)</f>
        <v>2.3020911664637351</v>
      </c>
      <c r="Z5">
        <f>SQRT((A5-V5)^2+(B5-W5)^2+(C5-X5)^2)</f>
        <v>3.6606485641817414</v>
      </c>
      <c r="AB5">
        <f>D5-D$5</f>
        <v>0</v>
      </c>
    </row>
    <row r="6" spans="1:28" x14ac:dyDescent="0.25">
      <c r="A6">
        <v>4.6782801070861204</v>
      </c>
      <c r="B6">
        <v>0.96020586697541799</v>
      </c>
      <c r="C6">
        <v>3.1848779842080499</v>
      </c>
      <c r="D6">
        <v>11.4677281379699</v>
      </c>
      <c r="E6">
        <v>3</v>
      </c>
      <c r="F6">
        <v>137</v>
      </c>
      <c r="G6">
        <v>7777</v>
      </c>
      <c r="H6">
        <v>4.5322479701288501</v>
      </c>
      <c r="I6">
        <v>3.1067115651095598</v>
      </c>
      <c r="J6">
        <v>2.4552898337594802</v>
      </c>
      <c r="K6">
        <v>53.516064643859799</v>
      </c>
      <c r="L6">
        <v>14</v>
      </c>
      <c r="Q6">
        <f>SQRT((A6-H6)^2+(B6-I6)^2+(C6-J6)^2)</f>
        <v>2.2718078630072598</v>
      </c>
      <c r="R6">
        <f t="shared" ref="R6:R9" si="0">SQRT((A5-A6)^2+(B5-B6)^2+(C5-C6)^2)</f>
        <v>6.5467431931934689E-2</v>
      </c>
      <c r="AA6">
        <f>(Q5-Q6)/(D6-D5)*60</f>
        <v>0.86470286666683494</v>
      </c>
      <c r="AB6">
        <f t="shared" ref="AB6:AB8" si="1">D6-D$5</f>
        <v>3.8225760459899201</v>
      </c>
    </row>
    <row r="7" spans="1:28" x14ac:dyDescent="0.25">
      <c r="A7">
        <v>4.6425954074411404</v>
      </c>
      <c r="B7">
        <v>1.0035720639369099</v>
      </c>
      <c r="C7">
        <v>3.25137581934474</v>
      </c>
      <c r="D7">
        <v>15.290304183959901</v>
      </c>
      <c r="E7">
        <v>4</v>
      </c>
      <c r="F7">
        <v>113</v>
      </c>
      <c r="G7">
        <v>6412</v>
      </c>
      <c r="H7">
        <v>4.5401687490191103</v>
      </c>
      <c r="I7">
        <v>2.9999707845724002</v>
      </c>
      <c r="J7">
        <v>2.47609937341366</v>
      </c>
      <c r="K7">
        <v>57.338640689849797</v>
      </c>
      <c r="L7">
        <v>15</v>
      </c>
      <c r="M7">
        <v>4.3043724145686397</v>
      </c>
      <c r="N7">
        <v>4.7998434442999001</v>
      </c>
      <c r="O7">
        <v>1.7255251457612599</v>
      </c>
      <c r="Q7">
        <f>SQRT((A7-H7)^2+(B7-I7)^2+(C7-J7)^2)</f>
        <v>2.1440971619136229</v>
      </c>
      <c r="R7">
        <f t="shared" si="0"/>
        <v>8.7040145367076202E-2</v>
      </c>
      <c r="V7">
        <f t="shared" ref="V7:V8" si="2">SQRT((A7-M7)^2+(B7-N7)^2+(C7-O7)^2)</f>
        <v>4.1053978448313524</v>
      </c>
      <c r="W7">
        <f t="shared" ref="W7:W8" si="3">AVERAGE(H7,M7)</f>
        <v>4.4222705817938746</v>
      </c>
      <c r="X7">
        <f t="shared" ref="X7:X8" si="4">AVERAGE(I7,N7)</f>
        <v>3.8999071144361501</v>
      </c>
      <c r="Y7">
        <f t="shared" ref="Y7:Y8" si="5">AVERAGE(J7,O7)</f>
        <v>2.1008122595874599</v>
      </c>
      <c r="Z7">
        <f t="shared" ref="Z7:Z8" si="6">SQRT((A7-V7)^2+(B7-W7)^2+(C7-X7)^2)</f>
        <v>3.5208910261444113</v>
      </c>
      <c r="AA7">
        <f t="shared" ref="AA7:AA8" si="7">(Q6-Q7)/(D7-D6)*60</f>
        <v>2.0045754416466246</v>
      </c>
      <c r="AB7">
        <f t="shared" si="1"/>
        <v>7.645152091979921</v>
      </c>
    </row>
    <row r="8" spans="1:28" x14ac:dyDescent="0.25">
      <c r="A8">
        <v>4.7040085552310797</v>
      </c>
      <c r="B8">
        <v>1.1371191453213401</v>
      </c>
      <c r="C8">
        <v>3.3039377344782399</v>
      </c>
      <c r="D8">
        <v>19.112880229949901</v>
      </c>
      <c r="E8">
        <v>5</v>
      </c>
      <c r="F8">
        <v>83</v>
      </c>
      <c r="G8">
        <v>5154</v>
      </c>
      <c r="H8">
        <v>4.5175317843344596</v>
      </c>
      <c r="I8">
        <v>2.9032887143766599</v>
      </c>
      <c r="J8">
        <v>2.5327276666209899</v>
      </c>
      <c r="K8">
        <v>61.161216735839801</v>
      </c>
      <c r="L8">
        <v>16</v>
      </c>
      <c r="M8">
        <v>4.2625570930540304</v>
      </c>
      <c r="N8">
        <v>4.7141796263588303</v>
      </c>
      <c r="O8">
        <v>1.9513543914735001</v>
      </c>
      <c r="Q8">
        <f>SQRT((A8-H8)^2+(B8-I8)^2+(C8-J8)^2)</f>
        <v>1.9362059553429405</v>
      </c>
      <c r="R8">
        <f t="shared" si="0"/>
        <v>0.15610622213822803</v>
      </c>
      <c r="V8">
        <f t="shared" si="2"/>
        <v>3.8496393049521269</v>
      </c>
      <c r="W8">
        <f t="shared" si="3"/>
        <v>4.390044438694245</v>
      </c>
      <c r="X8">
        <f t="shared" si="4"/>
        <v>3.8087341703677451</v>
      </c>
      <c r="Y8">
        <f t="shared" si="5"/>
        <v>2.242041029047245</v>
      </c>
      <c r="Z8">
        <f t="shared" si="6"/>
        <v>3.4009247597931607</v>
      </c>
      <c r="AA8">
        <f t="shared" si="7"/>
        <v>3.2631064089165727</v>
      </c>
      <c r="AB8">
        <f t="shared" si="1"/>
        <v>11.467728137969921</v>
      </c>
    </row>
    <row r="9" spans="1:28" s="1" customFormat="1" x14ac:dyDescent="0.25">
      <c r="A9" s="1">
        <v>4.8396971513167202</v>
      </c>
      <c r="B9" s="1">
        <v>1.33682639539662</v>
      </c>
      <c r="C9" s="1">
        <v>3.20281695176475</v>
      </c>
      <c r="D9" s="1">
        <v>22.935456275939899</v>
      </c>
      <c r="F9" s="1">
        <v>336</v>
      </c>
      <c r="G9" s="1">
        <v>18758</v>
      </c>
      <c r="H9" s="1">
        <v>4.5332534721586404</v>
      </c>
      <c r="I9" s="1">
        <v>2.8796841452058199</v>
      </c>
      <c r="J9" s="1">
        <v>2.6159734580616401</v>
      </c>
      <c r="K9" s="1">
        <v>64.983792781829806</v>
      </c>
      <c r="L9" s="1">
        <v>17</v>
      </c>
      <c r="Q9">
        <f>SQRT((A9-H9)^2+(B9-I9)^2+(C9-J9)^2)</f>
        <v>1.6788993569430897</v>
      </c>
      <c r="R9">
        <f t="shared" si="0"/>
        <v>0.26176285744335709</v>
      </c>
      <c r="AA9">
        <f>(Q8-Q9)/(D9-D8)*60</f>
        <v>4.0387413404597696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231107_WT_12_Cell 3_Kar9_12_20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cp:lastPrinted>2024-05-25T19:59:53Z</cp:lastPrinted>
  <dcterms:created xsi:type="dcterms:W3CDTF">2024-05-25T19:59:56Z</dcterms:created>
  <dcterms:modified xsi:type="dcterms:W3CDTF">2024-06-17T18:52:14Z</dcterms:modified>
</cp:coreProperties>
</file>