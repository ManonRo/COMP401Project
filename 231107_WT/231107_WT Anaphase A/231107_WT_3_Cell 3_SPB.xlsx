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F667712F-2164-4454-B85F-B55C714A2143}" xr6:coauthVersionLast="45" xr6:coauthVersionMax="45" xr10:uidLastSave="{00000000-0000-0000-0000-000000000000}"/>
  <bookViews>
    <workbookView xWindow="2340" yWindow="915" windowWidth="23790" windowHeight="13980" xr2:uid="{00000000-000D-0000-FFFF-FFFF00000000}"/>
  </bookViews>
  <sheets>
    <sheet name="231107_WT_3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AA6" i="1" l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5" i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 l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<sst xmlns="http://schemas.openxmlformats.org/spreadsheetml/2006/main" count="47" uniqueCount="34">
  <si>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</si>
  <si>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</si>
  <si>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</si>
  <si>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</si>
  <si>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</si>
  <si>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</si>
  <si>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</si>
  <si>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</si>
  <si>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</si>
  <si>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</si>
  <si>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</si>
  <si>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</si>
  <si>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</si>
  <si>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</si>
  <si>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</si>
  <si>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</si>
  <si>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</si>
  <si>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</si>
  <si>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</si>
  <si>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</si>
  <si>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</si>
  <si>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</si>
  <si>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</si>
  <si>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</si>
  <si>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</si>
  <si>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</si>
  <si>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</si>
  <si>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</si>
  <si>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</si>
  <si>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</si>
  <si>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</si>
  <si>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</si>
  <si>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</si>
  <si>
    <t>Distance from original SPB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</si>
</sst>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'231107_WT_3_Cell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6.3709648450215497E-2</c:v>
                </c:pt>
                <c:pt idx="2">
                  <c:v>0.12741929690043116</c:v>
                </c:pt>
                <c:pt idx="3">
                  <c:v>0.19112894535064667</c:v>
                </c:pt>
                <c:pt idx="4">
                  <c:v>0.25483859380086166</c:v>
                </c:pt>
                <c:pt idx="5">
                  <c:v>0.3185482422510767</c:v>
                </c:pt>
                <c:pt idx="6">
                  <c:v>0.38225789070129335</c:v>
                </c:pt>
                <c:pt idx="7">
                  <c:v>0.44596753915150839</c:v>
                </c:pt>
                <c:pt idx="8">
                  <c:v>0.50967718760172498</c:v>
                </c:pt>
                <c:pt idx="9">
                  <c:v>0.57338683605193996</c:v>
                </c:pt>
                <c:pt idx="10">
                  <c:v>0.63709648450215506</c:v>
                </c:pt>
                <c:pt idx="11">
                  <c:v>0.7008061329523716</c:v>
                </c:pt>
                <c:pt idx="12">
                  <c:v>0.76451578140258669</c:v>
                </c:pt>
                <c:pt idx="13">
                  <c:v>0.82822542985280334</c:v>
                </c:pt>
                <c:pt idx="14">
                  <c:v>0.89193507830301832</c:v>
                </c:pt>
                <c:pt idx="15">
                  <c:v>0.95564472675323331</c:v>
                </c:pt>
                <c:pt idx="16">
                  <c:v>1.01935437520345</c:v>
                </c:pt>
                <c:pt idx="17">
                  <c:v>1.0830640236536651</c:v>
                </c:pt>
                <c:pt idx="18">
                  <c:v>1.1467736721038817</c:v>
                </c:pt>
                <c:pt idx="19">
                  <c:v>1.2104833205540968</c:v>
                </c:pt>
              </c:numCache>
            </c:numRef>
          </c:xVal>
          <c:yVal>
            <c:numRef>
              <c:f>'231107_WT_3_Cell 3_SPB'!$Z$5:$Z$24</c:f>
              <c:numCache>
                <c:formatCode>General</c:formatCode>
                <c:ptCount val="20"/>
                <c:pt idx="0">
                  <c:v>4.8362181432130136</c:v>
                </c:pt>
                <c:pt idx="1">
                  <c:v>4.7558198627969741</c:v>
                </c:pt>
                <c:pt idx="2">
                  <c:v>4.6205132813627285</c:v>
                </c:pt>
                <c:pt idx="3">
                  <c:v>4.6992205823818463</c:v>
                </c:pt>
                <c:pt idx="4">
                  <c:v>5.0324121498561123</c:v>
                </c:pt>
                <c:pt idx="5">
                  <c:v>5.2754190929031486</c:v>
                </c:pt>
                <c:pt idx="6">
                  <c:v>5.6090983355933179</c:v>
                </c:pt>
                <c:pt idx="7">
                  <c:v>5.9953122828193601</c:v>
                </c:pt>
                <c:pt idx="8">
                  <c:v>5.9369413871194849</c:v>
                </c:pt>
                <c:pt idx="9">
                  <c:v>5.833985266295489</c:v>
                </c:pt>
                <c:pt idx="10">
                  <c:v>5.697820496614165</c:v>
                </c:pt>
                <c:pt idx="11">
                  <c:v>5.9494304674120322</c:v>
                </c:pt>
                <c:pt idx="12">
                  <c:v>5.9149407887901768</c:v>
                </c:pt>
                <c:pt idx="13">
                  <c:v>5.6986021973902599</c:v>
                </c:pt>
                <c:pt idx="14">
                  <c:v>5.6723254646044277</c:v>
                </c:pt>
                <c:pt idx="15">
                  <c:v>5.7620106461876297</c:v>
                </c:pt>
                <c:pt idx="16">
                  <c:v>5.7681750056720462</c:v>
                </c:pt>
                <c:pt idx="17">
                  <c:v>5.8564576048960522</c:v>
                </c:pt>
                <c:pt idx="18">
                  <c:v>5.8638942552834754</c:v>
                </c:pt>
                <c:pt idx="19">
                  <c:v>5.9079563592977751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D-4140-9283-08AF830B7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701312"/>
        <c:axId val="355709840"/>
      </c:scatterChart>
      <c:valAx>
        <c:axId val="35570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09840"/>
        <c:crosses val="autoZero"/>
        <c:crossBetween val="midCat"/>
      </c:valAx>
      <c:valAx>
        <c:axId val="35570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0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27</xdr:row>
      <xdr:rowOff>76200</xdr:rowOff>
    </xdr:from>
    <xdr:to>
      <xdr:col>13</xdr:col>
      <xdr:colOff>333375</xdr:colOff>
      <xdr:row>40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E0875-394C-4D12-8D45-F0A0F2079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topLeftCell="B1" workbookViewId="0">
      <selection activeCell="Z25" sqref="Z25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AA1" t="s">
        <v>33</v>
      </c>
    </row>
    <row r="2" spans="1:27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7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7" x14ac:dyDescent="0.25">
      <c r="A5">
        <v>0</v>
      </c>
      <c r="B5">
        <v>5.6041263543236104</v>
      </c>
      <c r="C5">
        <v>5.01588409957224</v>
      </c>
      <c r="D5">
        <v>3.3011647315229999</v>
      </c>
      <c r="E5">
        <v>0</v>
      </c>
      <c r="F5">
        <v>0</v>
      </c>
      <c r="G5">
        <v>77.140740740740696</v>
      </c>
      <c r="H5">
        <v>74</v>
      </c>
      <c r="I5">
        <v>28</v>
      </c>
      <c r="J5">
        <v>138</v>
      </c>
      <c r="K5">
        <v>10414</v>
      </c>
      <c r="L5">
        <v>29.3634362346594</v>
      </c>
      <c r="M5">
        <v>1</v>
      </c>
      <c r="N5">
        <v>1.80665078024613</v>
      </c>
      <c r="O5">
        <v>2.8207859674208602</v>
      </c>
      <c r="P5">
        <v>1.2640762741277001</v>
      </c>
      <c r="Q5">
        <v>0</v>
      </c>
      <c r="R5">
        <v>0</v>
      </c>
      <c r="S5">
        <v>291.80740740740703</v>
      </c>
      <c r="T5">
        <v>272</v>
      </c>
      <c r="U5">
        <v>92</v>
      </c>
      <c r="V5">
        <v>544</v>
      </c>
      <c r="W5">
        <v>39394</v>
      </c>
      <c r="X5">
        <v>118.01552492712599</v>
      </c>
      <c r="Y5">
        <f>E5/60</f>
        <v>0</v>
      </c>
      <c r="Z5">
        <f>SQRT((B5-N5)^2+(C5-O5)^2+(D5-P5)^2)</f>
        <v>4.8362181432130136</v>
      </c>
      <c r="AA5">
        <f>SQRT((B5-5.604)^2+(C5-5.016)^2+(D5-3.301)^2)</f>
        <v>2.3777047529034145E-4</v>
      </c>
    </row>
    <row r="6" spans="1:27" x14ac:dyDescent="0.25">
      <c r="A6">
        <v>0</v>
      </c>
      <c r="B6">
        <v>5.5485653759261702</v>
      </c>
      <c r="C6">
        <v>4.9526480356524596</v>
      </c>
      <c r="D6">
        <v>3.2607467097620599</v>
      </c>
      <c r="E6">
        <v>3.8225789070129301</v>
      </c>
      <c r="F6">
        <v>1</v>
      </c>
      <c r="G6">
        <v>54.844444444444399</v>
      </c>
      <c r="H6">
        <v>51</v>
      </c>
      <c r="I6">
        <v>19</v>
      </c>
      <c r="J6">
        <v>99</v>
      </c>
      <c r="K6">
        <v>7404</v>
      </c>
      <c r="L6">
        <v>21.189925326045401</v>
      </c>
      <c r="M6">
        <v>1</v>
      </c>
      <c r="N6">
        <v>1.7637644213842301</v>
      </c>
      <c r="O6">
        <v>2.7720790600629601</v>
      </c>
      <c r="P6">
        <v>1.3797301642289801</v>
      </c>
      <c r="Q6">
        <v>3.8225789070129301</v>
      </c>
      <c r="R6">
        <v>1</v>
      </c>
      <c r="S6">
        <v>213.4</v>
      </c>
      <c r="T6">
        <v>204</v>
      </c>
      <c r="U6">
        <v>56</v>
      </c>
      <c r="V6">
        <v>397</v>
      </c>
      <c r="W6">
        <v>28809</v>
      </c>
      <c r="X6">
        <v>89.278801949913799</v>
      </c>
      <c r="Y6">
        <f t="shared" ref="Y6:Y24" si="0">E6/60</f>
        <v>6.3709648450215497E-2</v>
      </c>
      <c r="Z6">
        <f t="shared" ref="Z6:Z24" si="1">SQRT((B6-N6)^2+(C6-O6)^2+(D6-P6)^2)</f>
        <v>4.7558198627969741</v>
      </c>
      <c r="AA6">
        <f t="shared" ref="AA6:AA24" si="2">SQRT((B6-5.604)^2+(C6-5.016)^2+(D6-3.301)^2)</f>
        <v>9.3310215452964917E-2</v>
      </c>
    </row>
    <row r="7" spans="1:27" x14ac:dyDescent="0.25">
      <c r="A7">
        <v>0</v>
      </c>
      <c r="B7">
        <v>5.4850670282806</v>
      </c>
      <c r="C7">
        <v>4.7656819467291696</v>
      </c>
      <c r="D7">
        <v>3.3353808390110098</v>
      </c>
      <c r="E7">
        <v>7.64515781402587</v>
      </c>
      <c r="F7">
        <v>2</v>
      </c>
      <c r="G7">
        <v>52.325925925925901</v>
      </c>
      <c r="H7">
        <v>50</v>
      </c>
      <c r="I7">
        <v>16</v>
      </c>
      <c r="J7">
        <v>95</v>
      </c>
      <c r="K7">
        <v>7064</v>
      </c>
      <c r="L7">
        <v>20.509855523054298</v>
      </c>
      <c r="M7">
        <v>1</v>
      </c>
      <c r="N7">
        <v>1.77385889188138</v>
      </c>
      <c r="O7">
        <v>2.8457612028144101</v>
      </c>
      <c r="P7">
        <v>1.3630772394961199</v>
      </c>
      <c r="Q7">
        <v>7.64515781402587</v>
      </c>
      <c r="R7">
        <v>2</v>
      </c>
      <c r="S7">
        <v>151.64444444444399</v>
      </c>
      <c r="T7">
        <v>147</v>
      </c>
      <c r="U7">
        <v>51</v>
      </c>
      <c r="V7">
        <v>291</v>
      </c>
      <c r="W7">
        <v>20472</v>
      </c>
      <c r="X7">
        <v>62.790752559315301</v>
      </c>
      <c r="Y7">
        <f t="shared" si="0"/>
        <v>0.12741929690043116</v>
      </c>
      <c r="Z7">
        <f t="shared" si="1"/>
        <v>4.6205132813627285</v>
      </c>
      <c r="AA7">
        <f t="shared" si="2"/>
        <v>0.27926013257607485</v>
      </c>
    </row>
    <row r="8" spans="1:27" x14ac:dyDescent="0.25">
      <c r="A8">
        <v>0</v>
      </c>
      <c r="B8">
        <v>5.67972347646168</v>
      </c>
      <c r="C8">
        <v>4.8949826441494597</v>
      </c>
      <c r="D8">
        <v>3.3022368883238999</v>
      </c>
      <c r="E8">
        <v>11.467736721038801</v>
      </c>
      <c r="F8">
        <v>3</v>
      </c>
      <c r="G8">
        <v>39.155555555555502</v>
      </c>
      <c r="H8">
        <v>38</v>
      </c>
      <c r="I8">
        <v>12</v>
      </c>
      <c r="J8">
        <v>68</v>
      </c>
      <c r="K8">
        <v>5286</v>
      </c>
      <c r="L8">
        <v>14.525770545835</v>
      </c>
      <c r="M8">
        <v>1</v>
      </c>
      <c r="N8">
        <v>1.85612782850527</v>
      </c>
      <c r="O8">
        <v>2.8952854560196402</v>
      </c>
      <c r="P8">
        <v>1.4410540497516999</v>
      </c>
      <c r="Q8">
        <v>11.467736721038801</v>
      </c>
      <c r="R8">
        <v>3</v>
      </c>
      <c r="S8">
        <v>111.49629629629599</v>
      </c>
      <c r="T8">
        <v>107</v>
      </c>
      <c r="U8">
        <v>36</v>
      </c>
      <c r="V8">
        <v>202</v>
      </c>
      <c r="W8">
        <v>15052</v>
      </c>
      <c r="X8">
        <v>44.396765055285698</v>
      </c>
      <c r="Y8">
        <f t="shared" si="0"/>
        <v>0.19112894535064667</v>
      </c>
      <c r="Z8">
        <f t="shared" si="1"/>
        <v>4.6992205823818463</v>
      </c>
      <c r="AA8">
        <f t="shared" si="2"/>
        <v>0.1427612524364531</v>
      </c>
    </row>
    <row r="9" spans="1:27" x14ac:dyDescent="0.25">
      <c r="A9">
        <v>0</v>
      </c>
      <c r="B9">
        <v>6.0004098396432601</v>
      </c>
      <c r="C9">
        <v>5.07880842284131</v>
      </c>
      <c r="D9">
        <v>3.2133301970505799</v>
      </c>
      <c r="E9">
        <v>15.290315628051699</v>
      </c>
      <c r="F9">
        <v>4</v>
      </c>
      <c r="G9">
        <v>36.585185185185097</v>
      </c>
      <c r="H9">
        <v>35</v>
      </c>
      <c r="I9">
        <v>12</v>
      </c>
      <c r="J9">
        <v>65</v>
      </c>
      <c r="K9">
        <v>4939</v>
      </c>
      <c r="L9">
        <v>14.038000232410299</v>
      </c>
      <c r="M9">
        <v>1</v>
      </c>
      <c r="N9">
        <v>1.8203208070522201</v>
      </c>
      <c r="O9">
        <v>2.9208260945898998</v>
      </c>
      <c r="P9">
        <v>1.4258347434658301</v>
      </c>
      <c r="Q9">
        <v>15.290315628051699</v>
      </c>
      <c r="R9">
        <v>4</v>
      </c>
      <c r="S9">
        <v>79.711111111111094</v>
      </c>
      <c r="T9">
        <v>77</v>
      </c>
      <c r="U9">
        <v>27</v>
      </c>
      <c r="V9">
        <v>144</v>
      </c>
      <c r="W9">
        <v>10761</v>
      </c>
      <c r="X9">
        <v>31.068260587300301</v>
      </c>
      <c r="Y9">
        <f t="shared" si="0"/>
        <v>0.25483859380086166</v>
      </c>
      <c r="Z9">
        <f t="shared" si="1"/>
        <v>5.0324121498561123</v>
      </c>
      <c r="AA9">
        <f t="shared" si="2"/>
        <v>0.41081827283483641</v>
      </c>
    </row>
    <row r="10" spans="1:27" x14ac:dyDescent="0.25">
      <c r="A10">
        <v>0</v>
      </c>
      <c r="B10">
        <v>6.2458864690739802</v>
      </c>
      <c r="C10">
        <v>5.3522044122425898</v>
      </c>
      <c r="D10">
        <v>3.1252781988025902</v>
      </c>
      <c r="E10">
        <v>19.112894535064601</v>
      </c>
      <c r="F10">
        <v>5</v>
      </c>
      <c r="G10">
        <v>26.577777777777701</v>
      </c>
      <c r="H10">
        <v>26</v>
      </c>
      <c r="I10">
        <v>9</v>
      </c>
      <c r="J10">
        <v>45</v>
      </c>
      <c r="K10">
        <v>3588</v>
      </c>
      <c r="L10">
        <v>8.9629974552648708</v>
      </c>
      <c r="M10">
        <v>1</v>
      </c>
      <c r="N10">
        <v>1.8626529522420401</v>
      </c>
      <c r="O10">
        <v>2.9620770643642</v>
      </c>
      <c r="P10">
        <v>1.42098896172691</v>
      </c>
      <c r="Q10">
        <v>19.112894535064601</v>
      </c>
      <c r="R10">
        <v>5</v>
      </c>
      <c r="S10">
        <v>70.125925925925898</v>
      </c>
      <c r="T10">
        <v>68</v>
      </c>
      <c r="U10">
        <v>21</v>
      </c>
      <c r="V10">
        <v>129</v>
      </c>
      <c r="W10">
        <v>9467</v>
      </c>
      <c r="X10">
        <v>28.614637113873201</v>
      </c>
      <c r="Y10">
        <f t="shared" si="0"/>
        <v>0.3185482422510767</v>
      </c>
      <c r="Z10">
        <f t="shared" si="1"/>
        <v>5.2754190929031486</v>
      </c>
      <c r="AA10">
        <f t="shared" si="2"/>
        <v>0.74560699930171581</v>
      </c>
    </row>
    <row r="11" spans="1:27" x14ac:dyDescent="0.25">
      <c r="A11">
        <v>0</v>
      </c>
      <c r="B11">
        <v>6.4439845870093997</v>
      </c>
      <c r="C11">
        <v>5.6007912394927102</v>
      </c>
      <c r="D11">
        <v>3.0716420885844999</v>
      </c>
      <c r="E11">
        <v>22.935473442077601</v>
      </c>
      <c r="F11">
        <v>6</v>
      </c>
      <c r="G11">
        <v>23.1407407407407</v>
      </c>
      <c r="H11">
        <v>21</v>
      </c>
      <c r="I11">
        <v>10</v>
      </c>
      <c r="J11">
        <v>41</v>
      </c>
      <c r="K11">
        <v>3124</v>
      </c>
      <c r="L11">
        <v>8.3013782014930104</v>
      </c>
      <c r="M11">
        <v>1</v>
      </c>
      <c r="N11">
        <v>1.8076337853084199</v>
      </c>
      <c r="O11">
        <v>2.9402418423065</v>
      </c>
      <c r="P11">
        <v>1.37231507854361</v>
      </c>
      <c r="Q11">
        <v>22.935473442077601</v>
      </c>
      <c r="R11">
        <v>6</v>
      </c>
      <c r="S11">
        <v>60.274074074074001</v>
      </c>
      <c r="T11">
        <v>56</v>
      </c>
      <c r="U11">
        <v>22</v>
      </c>
      <c r="V11">
        <v>108</v>
      </c>
      <c r="W11">
        <v>8137</v>
      </c>
      <c r="X11">
        <v>22.530718542784498</v>
      </c>
      <c r="Y11">
        <f t="shared" si="0"/>
        <v>0.38225789070129335</v>
      </c>
      <c r="Z11">
        <f t="shared" si="1"/>
        <v>5.6090983355933179</v>
      </c>
      <c r="AA11">
        <f t="shared" si="2"/>
        <v>1.0488850993934715</v>
      </c>
    </row>
    <row r="12" spans="1:27" x14ac:dyDescent="0.25">
      <c r="A12">
        <v>0</v>
      </c>
      <c r="B12">
        <v>6.6030848517845104</v>
      </c>
      <c r="C12">
        <v>5.8853865984904399</v>
      </c>
      <c r="D12">
        <v>3.0572380194613098</v>
      </c>
      <c r="E12">
        <v>26.758052349090502</v>
      </c>
      <c r="F12">
        <v>7</v>
      </c>
      <c r="G12">
        <v>17.822222222222202</v>
      </c>
      <c r="H12">
        <v>16</v>
      </c>
      <c r="I12">
        <v>7</v>
      </c>
      <c r="J12">
        <v>31</v>
      </c>
      <c r="K12">
        <v>2406</v>
      </c>
      <c r="L12">
        <v>6.2782099676587704</v>
      </c>
      <c r="M12">
        <v>1</v>
      </c>
      <c r="N12">
        <v>1.70385928212446</v>
      </c>
      <c r="O12">
        <v>2.8426461530222902</v>
      </c>
      <c r="P12">
        <v>1.41922435418677</v>
      </c>
      <c r="Q12">
        <v>26.758052349090502</v>
      </c>
      <c r="R12">
        <v>7</v>
      </c>
      <c r="S12">
        <v>49.155555555555502</v>
      </c>
      <c r="T12">
        <v>47</v>
      </c>
      <c r="U12">
        <v>15</v>
      </c>
      <c r="V12">
        <v>88</v>
      </c>
      <c r="W12">
        <v>6636</v>
      </c>
      <c r="X12">
        <v>18.7417112690792</v>
      </c>
      <c r="Y12">
        <f t="shared" si="0"/>
        <v>0.44596753915150839</v>
      </c>
      <c r="Z12">
        <f t="shared" si="1"/>
        <v>5.9953122828193601</v>
      </c>
      <c r="AA12">
        <f t="shared" si="2"/>
        <v>1.3466341380850997</v>
      </c>
    </row>
    <row r="13" spans="1:27" x14ac:dyDescent="0.25">
      <c r="A13">
        <v>0</v>
      </c>
      <c r="B13">
        <v>6.5306395818963399</v>
      </c>
      <c r="C13">
        <v>6.0803800168402802</v>
      </c>
      <c r="D13">
        <v>2.6880291640845502</v>
      </c>
      <c r="E13">
        <v>30.580631256103501</v>
      </c>
      <c r="F13">
        <v>8</v>
      </c>
      <c r="G13">
        <v>8.8370370370370299</v>
      </c>
      <c r="H13">
        <v>9</v>
      </c>
      <c r="I13">
        <v>3</v>
      </c>
      <c r="J13">
        <v>14</v>
      </c>
      <c r="K13">
        <v>1193</v>
      </c>
      <c r="L13">
        <v>2.7459805290245898</v>
      </c>
      <c r="M13">
        <v>1</v>
      </c>
      <c r="N13">
        <v>1.6996445985179101</v>
      </c>
      <c r="O13">
        <v>2.8544104045080401</v>
      </c>
      <c r="P13">
        <v>1.46251679573666</v>
      </c>
      <c r="Q13">
        <v>30.580631256103501</v>
      </c>
      <c r="R13">
        <v>8</v>
      </c>
      <c r="S13">
        <v>42.274074074074001</v>
      </c>
      <c r="T13">
        <v>40</v>
      </c>
      <c r="U13">
        <v>16</v>
      </c>
      <c r="V13">
        <v>78</v>
      </c>
      <c r="W13">
        <v>5707</v>
      </c>
      <c r="X13">
        <v>16.227592877302701</v>
      </c>
      <c r="Y13">
        <f t="shared" si="0"/>
        <v>0.50967718760172498</v>
      </c>
      <c r="Z13">
        <f t="shared" si="1"/>
        <v>5.9369413871194849</v>
      </c>
      <c r="AA13">
        <f t="shared" si="2"/>
        <v>1.5386029314507443</v>
      </c>
    </row>
    <row r="14" spans="1:27" x14ac:dyDescent="0.25">
      <c r="A14">
        <v>0</v>
      </c>
      <c r="B14">
        <v>6.41823788440347</v>
      </c>
      <c r="C14">
        <v>5.9779749340714003</v>
      </c>
      <c r="D14">
        <v>2.7021458981978799</v>
      </c>
      <c r="E14">
        <v>34.403210163116398</v>
      </c>
      <c r="F14">
        <v>9</v>
      </c>
      <c r="G14">
        <v>11.9037037037037</v>
      </c>
      <c r="H14">
        <v>12</v>
      </c>
      <c r="I14">
        <v>5</v>
      </c>
      <c r="J14">
        <v>18</v>
      </c>
      <c r="K14">
        <v>1607</v>
      </c>
      <c r="L14">
        <v>3.06368735514262</v>
      </c>
      <c r="M14">
        <v>1</v>
      </c>
      <c r="N14">
        <v>1.6810618378689099</v>
      </c>
      <c r="O14">
        <v>2.8319880749789998</v>
      </c>
      <c r="P14">
        <v>1.3993359067141</v>
      </c>
      <c r="Q14">
        <v>34.403210163116398</v>
      </c>
      <c r="R14">
        <v>9</v>
      </c>
      <c r="S14">
        <v>59.481481481481403</v>
      </c>
      <c r="T14">
        <v>58</v>
      </c>
      <c r="U14">
        <v>20</v>
      </c>
      <c r="V14">
        <v>97</v>
      </c>
      <c r="W14">
        <v>8030</v>
      </c>
      <c r="X14">
        <v>19.027416139692001</v>
      </c>
      <c r="Y14">
        <f t="shared" si="0"/>
        <v>0.57338683605193996</v>
      </c>
      <c r="Z14">
        <f t="shared" si="1"/>
        <v>5.833985266295489</v>
      </c>
      <c r="AA14">
        <f t="shared" si="2"/>
        <v>1.3953513326129507</v>
      </c>
    </row>
    <row r="15" spans="1:27" x14ac:dyDescent="0.25">
      <c r="A15">
        <v>0</v>
      </c>
      <c r="B15">
        <v>6.4072364168393001</v>
      </c>
      <c r="C15">
        <v>5.7584822485559997</v>
      </c>
      <c r="D15">
        <v>2.9060670905603101</v>
      </c>
      <c r="E15">
        <v>38.225789070129302</v>
      </c>
      <c r="F15">
        <v>10</v>
      </c>
      <c r="G15">
        <v>20.814814814814799</v>
      </c>
      <c r="H15">
        <v>21</v>
      </c>
      <c r="I15">
        <v>9</v>
      </c>
      <c r="J15">
        <v>33</v>
      </c>
      <c r="K15">
        <v>2810</v>
      </c>
      <c r="L15">
        <v>5.7616658883290102</v>
      </c>
      <c r="M15">
        <v>1</v>
      </c>
      <c r="N15">
        <v>1.7718267485427599</v>
      </c>
      <c r="O15">
        <v>2.9037802515187598</v>
      </c>
      <c r="P15">
        <v>1.2241598021490101</v>
      </c>
      <c r="Q15">
        <v>38.225789070129302</v>
      </c>
      <c r="R15">
        <v>10</v>
      </c>
      <c r="S15">
        <v>55.214814814814801</v>
      </c>
      <c r="T15">
        <v>54</v>
      </c>
      <c r="U15">
        <v>21</v>
      </c>
      <c r="V15">
        <v>93</v>
      </c>
      <c r="W15">
        <v>7454</v>
      </c>
      <c r="X15">
        <v>17.8448475715964</v>
      </c>
      <c r="Y15">
        <f t="shared" si="0"/>
        <v>0.63709648450215506</v>
      </c>
      <c r="Z15">
        <f t="shared" si="1"/>
        <v>5.697820496614165</v>
      </c>
      <c r="AA15">
        <f t="shared" si="2"/>
        <v>1.1629448111222258</v>
      </c>
    </row>
    <row r="16" spans="1:27" x14ac:dyDescent="0.25">
      <c r="A16">
        <v>0</v>
      </c>
      <c r="B16">
        <v>6.3682747995666196</v>
      </c>
      <c r="C16">
        <v>5.8942049501202396</v>
      </c>
      <c r="D16">
        <v>2.8384951802731302</v>
      </c>
      <c r="E16">
        <v>42.048367977142298</v>
      </c>
      <c r="F16">
        <v>11</v>
      </c>
      <c r="G16">
        <v>10.688888888888799</v>
      </c>
      <c r="H16">
        <v>11</v>
      </c>
      <c r="I16">
        <v>5</v>
      </c>
      <c r="J16">
        <v>16</v>
      </c>
      <c r="K16">
        <v>1443</v>
      </c>
      <c r="L16">
        <v>2.7710299466397199</v>
      </c>
      <c r="M16">
        <v>1</v>
      </c>
      <c r="N16">
        <v>1.5032991309624799</v>
      </c>
      <c r="O16">
        <v>2.8234723020417398</v>
      </c>
      <c r="P16">
        <v>1.3224689158287899</v>
      </c>
      <c r="Q16">
        <v>42.048367977142298</v>
      </c>
      <c r="R16">
        <v>11</v>
      </c>
      <c r="S16">
        <v>45.325925925925901</v>
      </c>
      <c r="T16">
        <v>44</v>
      </c>
      <c r="U16">
        <v>18</v>
      </c>
      <c r="V16">
        <v>75</v>
      </c>
      <c r="W16">
        <v>6119</v>
      </c>
      <c r="X16">
        <v>14.005771534018701</v>
      </c>
      <c r="Y16">
        <f t="shared" si="0"/>
        <v>0.7008061329523716</v>
      </c>
      <c r="Z16">
        <f t="shared" si="1"/>
        <v>5.9494304674120322</v>
      </c>
      <c r="AA16">
        <f t="shared" si="2"/>
        <v>1.2527053172789175</v>
      </c>
    </row>
    <row r="17" spans="1:27" x14ac:dyDescent="0.25">
      <c r="A17">
        <v>0</v>
      </c>
      <c r="B17">
        <v>6.2915957088135803</v>
      </c>
      <c r="C17">
        <v>6.0544327495050902</v>
      </c>
      <c r="D17">
        <v>2.9710201014089002</v>
      </c>
      <c r="E17">
        <v>45.870946884155202</v>
      </c>
      <c r="F17">
        <v>12</v>
      </c>
      <c r="G17">
        <v>10.911111111111101</v>
      </c>
      <c r="H17">
        <v>11</v>
      </c>
      <c r="I17">
        <v>3</v>
      </c>
      <c r="J17">
        <v>19</v>
      </c>
      <c r="K17">
        <v>1473</v>
      </c>
      <c r="L17">
        <v>4.0490770399711904</v>
      </c>
      <c r="M17">
        <v>1</v>
      </c>
      <c r="N17">
        <v>1.62852689691664</v>
      </c>
      <c r="O17">
        <v>2.8714075934298799</v>
      </c>
      <c r="P17">
        <v>1.20731245947949</v>
      </c>
      <c r="Q17">
        <v>45.870946884155202</v>
      </c>
      <c r="R17">
        <v>12</v>
      </c>
      <c r="S17">
        <v>32.755555555555503</v>
      </c>
      <c r="T17">
        <v>31</v>
      </c>
      <c r="U17">
        <v>12</v>
      </c>
      <c r="V17">
        <v>60</v>
      </c>
      <c r="W17">
        <v>4422</v>
      </c>
      <c r="X17">
        <v>12.2714732092918</v>
      </c>
      <c r="Y17">
        <f t="shared" si="0"/>
        <v>0.76451578140258669</v>
      </c>
      <c r="Z17">
        <f t="shared" si="1"/>
        <v>5.9149407887901768</v>
      </c>
      <c r="AA17">
        <f t="shared" si="2"/>
        <v>1.2884165349364871</v>
      </c>
    </row>
    <row r="18" spans="1:27" x14ac:dyDescent="0.25">
      <c r="A18">
        <v>0</v>
      </c>
      <c r="B18">
        <v>6.3387538238467798</v>
      </c>
      <c r="C18">
        <v>6.1009709998049502</v>
      </c>
      <c r="D18">
        <v>2.86989564145986</v>
      </c>
      <c r="E18">
        <v>49.693525791168199</v>
      </c>
      <c r="F18">
        <v>13</v>
      </c>
      <c r="G18">
        <v>10.133333333333301</v>
      </c>
      <c r="H18">
        <v>10</v>
      </c>
      <c r="I18">
        <v>3</v>
      </c>
      <c r="J18">
        <v>17</v>
      </c>
      <c r="K18">
        <v>1368</v>
      </c>
      <c r="L18">
        <v>3.59269574088415</v>
      </c>
      <c r="M18">
        <v>1</v>
      </c>
      <c r="N18">
        <v>1.7685841343573101</v>
      </c>
      <c r="O18">
        <v>3.0567508208769198</v>
      </c>
      <c r="P18">
        <v>1.34662957291497</v>
      </c>
      <c r="Q18">
        <v>49.693525791168199</v>
      </c>
      <c r="R18">
        <v>13</v>
      </c>
      <c r="S18">
        <v>28.9185185185185</v>
      </c>
      <c r="T18">
        <v>28</v>
      </c>
      <c r="U18">
        <v>10</v>
      </c>
      <c r="V18">
        <v>51</v>
      </c>
      <c r="W18">
        <v>3904</v>
      </c>
      <c r="X18">
        <v>11.1743655546982</v>
      </c>
      <c r="Y18">
        <f t="shared" si="0"/>
        <v>0.82822542985280334</v>
      </c>
      <c r="Z18">
        <f t="shared" si="1"/>
        <v>5.6986021973902599</v>
      </c>
      <c r="AA18">
        <f t="shared" si="2"/>
        <v>1.3794477953251885</v>
      </c>
    </row>
    <row r="19" spans="1:27" x14ac:dyDescent="0.25">
      <c r="A19">
        <v>0</v>
      </c>
      <c r="B19">
        <v>6.2903823210837801</v>
      </c>
      <c r="C19">
        <v>6.1689588961128399</v>
      </c>
      <c r="D19">
        <v>2.9231300700037002</v>
      </c>
      <c r="E19">
        <v>53.516104698181103</v>
      </c>
      <c r="F19">
        <v>14</v>
      </c>
      <c r="G19">
        <v>6.7703703703703697</v>
      </c>
      <c r="H19">
        <v>6</v>
      </c>
      <c r="I19">
        <v>3</v>
      </c>
      <c r="J19">
        <v>12</v>
      </c>
      <c r="K19">
        <v>914</v>
      </c>
      <c r="L19">
        <v>2.2984119785182302</v>
      </c>
      <c r="M19">
        <v>1</v>
      </c>
      <c r="N19">
        <v>1.7902003762726499</v>
      </c>
      <c r="O19">
        <v>3.1335962653586802</v>
      </c>
      <c r="P19">
        <v>1.2768578143251501</v>
      </c>
      <c r="Q19">
        <v>53.516104698181103</v>
      </c>
      <c r="R19">
        <v>14</v>
      </c>
      <c r="S19">
        <v>25.2814814814814</v>
      </c>
      <c r="T19">
        <v>24</v>
      </c>
      <c r="U19">
        <v>9</v>
      </c>
      <c r="V19">
        <v>47</v>
      </c>
      <c r="W19">
        <v>3413</v>
      </c>
      <c r="X19">
        <v>9.7050931788277399</v>
      </c>
      <c r="Y19">
        <f t="shared" si="0"/>
        <v>0.89193507830301832</v>
      </c>
      <c r="Z19">
        <f t="shared" si="1"/>
        <v>5.6723254646044277</v>
      </c>
      <c r="AA19">
        <f t="shared" si="2"/>
        <v>1.3939944730225815</v>
      </c>
    </row>
    <row r="20" spans="1:27" x14ac:dyDescent="0.25">
      <c r="A20">
        <v>0</v>
      </c>
      <c r="B20">
        <v>6.32364152620928</v>
      </c>
      <c r="C20">
        <v>6.1885528585574603</v>
      </c>
      <c r="D20">
        <v>2.80550849113733</v>
      </c>
      <c r="E20">
        <v>57.338683605193999</v>
      </c>
      <c r="F20">
        <v>15</v>
      </c>
      <c r="G20">
        <v>10.066666666666601</v>
      </c>
      <c r="H20">
        <v>10</v>
      </c>
      <c r="I20">
        <v>3</v>
      </c>
      <c r="J20">
        <v>16</v>
      </c>
      <c r="K20">
        <v>1359</v>
      </c>
      <c r="L20">
        <v>3.1128045616141602</v>
      </c>
      <c r="M20">
        <v>1</v>
      </c>
      <c r="N20">
        <v>1.70788104556722</v>
      </c>
      <c r="O20">
        <v>3.1256890979070899</v>
      </c>
      <c r="P20">
        <v>1.21982647515265</v>
      </c>
      <c r="Q20">
        <v>57.338683605193999</v>
      </c>
      <c r="R20">
        <v>15</v>
      </c>
      <c r="S20">
        <v>20.785185185185099</v>
      </c>
      <c r="T20">
        <v>20</v>
      </c>
      <c r="U20">
        <v>7</v>
      </c>
      <c r="V20">
        <v>36</v>
      </c>
      <c r="W20">
        <v>2806</v>
      </c>
      <c r="X20">
        <v>7.5689716026793796</v>
      </c>
      <c r="Y20">
        <f t="shared" si="0"/>
        <v>0.95564472675323331</v>
      </c>
      <c r="Z20">
        <f t="shared" si="1"/>
        <v>5.7620106461876297</v>
      </c>
      <c r="AA20">
        <f t="shared" si="2"/>
        <v>1.4622845029990228</v>
      </c>
    </row>
    <row r="21" spans="1:27" x14ac:dyDescent="0.25">
      <c r="A21">
        <v>0</v>
      </c>
      <c r="B21">
        <v>6.3920632139876004</v>
      </c>
      <c r="C21">
        <v>6.2173717526443903</v>
      </c>
      <c r="D21">
        <v>2.8363053826976601</v>
      </c>
      <c r="E21">
        <v>61.161262512207003</v>
      </c>
      <c r="F21">
        <v>16</v>
      </c>
      <c r="G21">
        <v>9.9629629629629601</v>
      </c>
      <c r="H21">
        <v>10</v>
      </c>
      <c r="I21">
        <v>3</v>
      </c>
      <c r="J21">
        <v>17</v>
      </c>
      <c r="K21">
        <v>1345</v>
      </c>
      <c r="L21">
        <v>3.3865568465238201</v>
      </c>
      <c r="M21">
        <v>1</v>
      </c>
      <c r="N21">
        <v>1.7796578965777099</v>
      </c>
      <c r="O21">
        <v>3.1102408040549001</v>
      </c>
      <c r="P21">
        <v>1.3055221347144399</v>
      </c>
      <c r="Q21">
        <v>61.161262512207003</v>
      </c>
      <c r="R21">
        <v>16</v>
      </c>
      <c r="S21">
        <v>24.5259259259259</v>
      </c>
      <c r="T21">
        <v>24</v>
      </c>
      <c r="U21">
        <v>8</v>
      </c>
      <c r="V21">
        <v>46</v>
      </c>
      <c r="W21">
        <v>3311</v>
      </c>
      <c r="X21">
        <v>9.5837468365617795</v>
      </c>
      <c r="Y21">
        <f t="shared" si="0"/>
        <v>1.01935437520345</v>
      </c>
      <c r="Z21">
        <f t="shared" si="1"/>
        <v>5.7681750056720462</v>
      </c>
      <c r="AA21">
        <f t="shared" si="2"/>
        <v>1.5100592056744293</v>
      </c>
    </row>
    <row r="22" spans="1:27" x14ac:dyDescent="0.25">
      <c r="A22">
        <v>0</v>
      </c>
      <c r="B22">
        <v>6.4571209962617502</v>
      </c>
      <c r="C22">
        <v>6.1439453395178196</v>
      </c>
      <c r="D22">
        <v>2.7922153409855599</v>
      </c>
      <c r="E22">
        <v>64.9838414192199</v>
      </c>
      <c r="F22">
        <v>17</v>
      </c>
      <c r="G22">
        <v>8.0592592592592496</v>
      </c>
      <c r="H22">
        <v>7</v>
      </c>
      <c r="I22">
        <v>2</v>
      </c>
      <c r="J22">
        <v>15</v>
      </c>
      <c r="K22">
        <v>1088</v>
      </c>
      <c r="L22">
        <v>3.25246855265571</v>
      </c>
      <c r="M22">
        <v>1</v>
      </c>
      <c r="N22">
        <v>1.72769862112065</v>
      </c>
      <c r="O22">
        <v>2.9998611912467399</v>
      </c>
      <c r="P22">
        <v>1.36204243393899</v>
      </c>
      <c r="Q22">
        <v>64.9838414192199</v>
      </c>
      <c r="R22">
        <v>17</v>
      </c>
      <c r="S22">
        <v>16.622222222222199</v>
      </c>
      <c r="T22">
        <v>16</v>
      </c>
      <c r="U22">
        <v>6</v>
      </c>
      <c r="V22">
        <v>29</v>
      </c>
      <c r="W22">
        <v>2244</v>
      </c>
      <c r="X22">
        <v>5.6987386227609402</v>
      </c>
      <c r="Y22">
        <f t="shared" si="0"/>
        <v>1.0830640236536651</v>
      </c>
      <c r="Z22">
        <f t="shared" si="1"/>
        <v>5.8564576048960522</v>
      </c>
      <c r="AA22">
        <f t="shared" si="2"/>
        <v>1.5029763645683358</v>
      </c>
    </row>
    <row r="23" spans="1:27" x14ac:dyDescent="0.25">
      <c r="A23">
        <v>0</v>
      </c>
      <c r="B23">
        <v>6.4828758839291698</v>
      </c>
      <c r="C23">
        <v>6.1428087224117496</v>
      </c>
      <c r="D23">
        <v>2.8891080941487099</v>
      </c>
      <c r="E23">
        <v>68.806420326232896</v>
      </c>
      <c r="F23">
        <v>18</v>
      </c>
      <c r="G23">
        <v>14.177777777777701</v>
      </c>
      <c r="H23">
        <v>13</v>
      </c>
      <c r="I23">
        <v>5</v>
      </c>
      <c r="J23">
        <v>27</v>
      </c>
      <c r="K23">
        <v>1914</v>
      </c>
      <c r="L23">
        <v>5.6156320555289696</v>
      </c>
      <c r="M23">
        <v>1</v>
      </c>
      <c r="N23">
        <v>1.7670522034463001</v>
      </c>
      <c r="O23">
        <v>3.0352105138744401</v>
      </c>
      <c r="P23">
        <v>1.3114211080709099</v>
      </c>
      <c r="Q23">
        <v>68.806420326232896</v>
      </c>
      <c r="R23">
        <v>18</v>
      </c>
      <c r="S23">
        <v>19.629629629629601</v>
      </c>
      <c r="T23">
        <v>19</v>
      </c>
      <c r="U23">
        <v>7</v>
      </c>
      <c r="V23">
        <v>35</v>
      </c>
      <c r="W23">
        <v>2650</v>
      </c>
      <c r="X23">
        <v>7.1901059099383504</v>
      </c>
      <c r="Y23">
        <f t="shared" si="0"/>
        <v>1.1467736721038817</v>
      </c>
      <c r="Z23">
        <f t="shared" si="1"/>
        <v>5.8638942552834754</v>
      </c>
      <c r="AA23">
        <f t="shared" si="2"/>
        <v>1.4872039733544578</v>
      </c>
    </row>
    <row r="24" spans="1:27" x14ac:dyDescent="0.25">
      <c r="A24">
        <v>0</v>
      </c>
      <c r="B24">
        <v>6.4575622969746602</v>
      </c>
      <c r="C24">
        <v>6.1956116360809101</v>
      </c>
      <c r="D24">
        <v>3.02632419107452</v>
      </c>
      <c r="E24">
        <v>72.628999233245807</v>
      </c>
      <c r="F24">
        <v>19</v>
      </c>
      <c r="G24">
        <v>8.7703703703703706</v>
      </c>
      <c r="H24">
        <v>8</v>
      </c>
      <c r="I24">
        <v>3</v>
      </c>
      <c r="J24">
        <v>17</v>
      </c>
      <c r="K24">
        <v>1184</v>
      </c>
      <c r="L24">
        <v>3.6074978733989802</v>
      </c>
      <c r="M24">
        <v>1</v>
      </c>
      <c r="N24">
        <v>1.6900526150559101</v>
      </c>
      <c r="O24">
        <v>3.0966724180570799</v>
      </c>
      <c r="P24">
        <v>1.42277328786881</v>
      </c>
      <c r="Q24">
        <v>72.628999233245807</v>
      </c>
      <c r="R24">
        <v>19</v>
      </c>
      <c r="S24">
        <v>20.103703703703701</v>
      </c>
      <c r="T24">
        <v>19</v>
      </c>
      <c r="U24">
        <v>8</v>
      </c>
      <c r="V24">
        <v>36</v>
      </c>
      <c r="W24">
        <v>2714</v>
      </c>
      <c r="X24">
        <v>7.2433954210015399</v>
      </c>
      <c r="Y24">
        <f t="shared" si="0"/>
        <v>1.2104833205540968</v>
      </c>
      <c r="Z24">
        <f t="shared" si="1"/>
        <v>5.9079563592977751</v>
      </c>
      <c r="AA24">
        <f t="shared" si="2"/>
        <v>1.4817216360717038</v>
      </c>
    </row>
    <row r="25" spans="1:27" x14ac:dyDescent="0.25">
      <c r="Z25">
        <f>AVERAGE(Z5:Z24)</f>
        <v>5.5343276835244755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231107_WT_3_Cell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2023-11-30T19:47:11Z</dcterms:created>
  <dcterms:modified xsi:type="dcterms:W3CDTF">2024-05-21T17:59:43Z</dcterms:modified>
</cp:coreProperties>
</file>