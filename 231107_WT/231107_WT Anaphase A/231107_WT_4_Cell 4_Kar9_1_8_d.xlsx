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4F7ECB00-DC11-4229-9A82-876C7DD8BE71}" xr6:coauthVersionLast="45" xr6:coauthVersionMax="45" xr10:uidLastSave="{00000000-0000-0000-0000-000000000000}"/>
  <bookViews>
    <workbookView xWindow="330" yWindow="420" windowWidth="27285" windowHeight="14550" xr2:uid="{00000000-000D-0000-FFFF-FFFF00000000}"/>
  </bookViews>
  <sheets>
    <sheet name="231107_WT_4_Cell 4_Kar9_1_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6" i="1" l="1"/>
  <c r="AD7" i="1"/>
  <c r="AD8" i="1"/>
  <c r="AD9" i="1"/>
  <c r="AD10" i="1"/>
  <c r="AD11" i="1"/>
  <c r="AD5" i="1"/>
  <c r="AC7" i="1" l="1"/>
  <c r="AC8" i="1"/>
  <c r="AC9" i="1"/>
  <c r="AC10" i="1"/>
  <c r="AC11" i="1"/>
  <c r="AC6" i="1"/>
  <c r="AB6" i="1" l="1"/>
  <c r="AB7" i="1"/>
  <c r="AB8" i="1"/>
  <c r="AB9" i="1"/>
  <c r="AB10" i="1"/>
  <c r="AB11" i="1"/>
  <c r="AB5" i="1"/>
  <c r="AA6" i="1" l="1"/>
  <c r="AA7" i="1"/>
  <c r="AA8" i="1"/>
  <c r="AA9" i="1"/>
  <c r="AA10" i="1"/>
  <c r="AA11" i="1"/>
  <c r="AA5" i="1"/>
  <c r="Z6" i="1"/>
  <c r="Z7" i="1"/>
  <c r="Z8" i="1"/>
  <c r="Z9" i="1"/>
  <c r="Z10" i="1"/>
  <c r="Z11" i="1"/>
  <c r="Z5" i="1"/>
  <c r="Y6" i="1"/>
  <c r="Y7" i="1"/>
  <c r="Y8" i="1"/>
  <c r="Y9" i="1"/>
  <c r="Y10" i="1"/>
  <c r="Y11" i="1"/>
  <c r="Y5" i="1"/>
  <c r="X6" i="1" l="1"/>
  <c r="X7" i="1"/>
  <c r="X8" i="1"/>
  <c r="X9" i="1"/>
  <c r="X10" i="1"/>
  <c r="X11" i="1"/>
  <c r="X5" i="1"/>
  <c r="W5" i="1" l="1"/>
  <c r="T10" i="1"/>
  <c r="U11" i="1"/>
  <c r="V5" i="1"/>
  <c r="U10" i="1" l="1"/>
  <c r="U8" i="1"/>
  <c r="U7" i="1"/>
  <c r="U6" i="1"/>
  <c r="U9" i="1"/>
  <c r="U5" i="1"/>
  <c r="T7" i="1"/>
  <c r="T8" i="1"/>
  <c r="T9" i="1"/>
  <c r="T11" i="1"/>
  <c r="T6" i="1"/>
  <c r="S5" i="1" l="1"/>
  <c r="R7" i="1" l="1"/>
  <c r="R8" i="1"/>
  <c r="R9" i="1"/>
  <c r="R10" i="1"/>
  <c r="R11" i="1"/>
  <c r="R6" i="1"/>
  <c r="Q5" i="1"/>
  <c r="Q6" i="1"/>
  <c r="Q7" i="1"/>
  <c r="Q8" i="1"/>
  <c r="Q9" i="1"/>
  <c r="Q10" i="1"/>
  <c r="Q11" i="1"/>
</calcChain>
</file>

<file path=xl/sharedStrings.xml><?xml version="1.0" encoding="utf-8"?>
<sst xmlns="http://schemas.openxmlformats.org/spreadsheetml/2006/main" count="34" uniqueCount="26">
  <si>
    <t>POSITION_X</t>
  </si>
  <si>
    <t>POSITION_Y</t>
  </si>
  <si>
    <t>POSITION_Z</t>
  </si>
  <si>
    <t>POSITION_T</t>
  </si>
  <si>
    <t>FRAME</t>
  </si>
  <si>
    <t>MAX_INTENSITY_CH2</t>
  </si>
  <si>
    <t>TOTAL_INTENSITY_CH2</t>
  </si>
  <si>
    <t>X</t>
  </si>
  <si>
    <t>Y</t>
  </si>
  <si>
    <t>Z</t>
  </si>
  <si>
    <t>T</t>
  </si>
  <si>
    <t>Frame</t>
  </si>
  <si>
    <t>Max intensity ch2</t>
  </si>
  <si>
    <t>Sum intensity ch2</t>
  </si>
  <si>
    <t>Max ch2</t>
  </si>
  <si>
    <t>Sum ch2</t>
  </si>
  <si>
    <t>(micron)</t>
  </si>
  <si>
    <t>(sec)</t>
  </si>
  <si>
    <t>(counts)</t>
  </si>
  <si>
    <t xml:space="preserve"> </t>
  </si>
  <si>
    <t>mt length change overall</t>
  </si>
  <si>
    <t>SPB movement overall</t>
  </si>
  <si>
    <t>Spindle midpoint</t>
  </si>
  <si>
    <t>Spindle midpoint to anchored Kar9 distance</t>
  </si>
  <si>
    <t>Instantaneous depolym speed</t>
  </si>
  <si>
    <t>normalized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</si>
</sst>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337669556011381"/>
                  <c:y val="0.140660965231663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4_Kar9_1_20'!$D$5:$D$11</c:f>
              <c:numCache>
                <c:formatCode>General</c:formatCode>
                <c:ptCount val="7"/>
                <c:pt idx="0">
                  <c:v>3.82257723808288</c:v>
                </c:pt>
                <c:pt idx="1">
                  <c:v>7.6451544761657697</c:v>
                </c:pt>
                <c:pt idx="2">
                  <c:v>11.4677317142486</c:v>
                </c:pt>
                <c:pt idx="3">
                  <c:v>15.2903089523315</c:v>
                </c:pt>
                <c:pt idx="4">
                  <c:v>19.1128861904144</c:v>
                </c:pt>
                <c:pt idx="5">
                  <c:v>22.9354634284973</c:v>
                </c:pt>
                <c:pt idx="6">
                  <c:v>26.7580406665802</c:v>
                </c:pt>
              </c:numCache>
            </c:numRef>
          </c:xVal>
          <c:yVal>
            <c:numRef>
              <c:f>'231107_WT_4_Cell 4_Kar9_1_20'!$Q$5:$Q$11</c:f>
              <c:numCache>
                <c:formatCode>General</c:formatCode>
                <c:ptCount val="7"/>
                <c:pt idx="0">
                  <c:v>2.1112684265634396</c:v>
                </c:pt>
                <c:pt idx="1">
                  <c:v>1.9474168192965597</c:v>
                </c:pt>
                <c:pt idx="2">
                  <c:v>1.6561264452087114</c:v>
                </c:pt>
                <c:pt idx="3">
                  <c:v>1.4948851374206902</c:v>
                </c:pt>
                <c:pt idx="4">
                  <c:v>1.3449051408333097</c:v>
                </c:pt>
                <c:pt idx="5">
                  <c:v>1.1171606035996717</c:v>
                </c:pt>
                <c:pt idx="6">
                  <c:v>1.0530362607565358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61-4AC0-92A3-041E6A7FA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828240"/>
        <c:axId val="473828568"/>
      </c:scatterChart>
      <c:valAx>
        <c:axId val="47382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828568"/>
        <c:crosses val="autoZero"/>
        <c:crossBetween val="midCat"/>
      </c:valAx>
      <c:valAx>
        <c:axId val="473828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82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'231107_WT_4_Cell 4_Kar9_1_20'!$R$5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'231107_WT_4_Cell 4_Kar9_1_20'!$R$6:$R$11</c:f>
              <c:numCache>
                <c:formatCode>General</c:formatCode>
                <c:ptCount val="6"/>
                <c:pt idx="0">
                  <c:v>4.0725103619592341E-2</c:v>
                </c:pt>
                <c:pt idx="1">
                  <c:v>4.6414102687719068E-2</c:v>
                </c:pt>
                <c:pt idx="2">
                  <c:v>0.10219018636276998</c:v>
                </c:pt>
                <c:pt idx="3">
                  <c:v>0.10215763402754864</c:v>
                </c:pt>
                <c:pt idx="4">
                  <c:v>6.3643414599737741E-2</c:v>
                </c:pt>
                <c:pt idx="5">
                  <c:v>3.9121734254465808E-2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2C-472D-B640-3A3C9077A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85720"/>
        <c:axId val="663586048"/>
      </c:scatterChart>
      <c:valAx>
        <c:axId val="663585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586048"/>
        <c:crosses val="autoZero"/>
        <c:crossBetween val="midCat"/>
      </c:valAx>
      <c:valAx>
        <c:axId val="66358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585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9292869641294835E-2"/>
                  <c:y val="0.180099883347914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4_Kar9_1_20'!$D$5:$D$11</c:f>
              <c:numCache>
                <c:formatCode>General</c:formatCode>
                <c:ptCount val="7"/>
                <c:pt idx="0">
                  <c:v>3.82257723808288</c:v>
                </c:pt>
                <c:pt idx="1">
                  <c:v>7.6451544761657697</c:v>
                </c:pt>
                <c:pt idx="2">
                  <c:v>11.4677317142486</c:v>
                </c:pt>
                <c:pt idx="3">
                  <c:v>15.2903089523315</c:v>
                </c:pt>
                <c:pt idx="4">
                  <c:v>19.1128861904144</c:v>
                </c:pt>
                <c:pt idx="5">
                  <c:v>22.9354634284973</c:v>
                </c:pt>
                <c:pt idx="6">
                  <c:v>26.7580406665802</c:v>
                </c:pt>
              </c:numCache>
            </c:numRef>
          </c:xVal>
          <c:yVal>
            <c:numRef>
              <c:f>'231107_WT_4_Cell 4_Kar9_1_20'!$X$5:$X$11</c:f>
              <c:numCache>
                <c:formatCode>General</c:formatCode>
                <c:ptCount val="7"/>
                <c:pt idx="0">
                  <c:v>5.3703169323786133</c:v>
                </c:pt>
                <c:pt idx="1">
                  <c:v>5.2933634810478338</c:v>
                </c:pt>
                <c:pt idx="2">
                  <c:v>4.988508311375754</c:v>
                </c:pt>
                <c:pt idx="3">
                  <c:v>4.8935659854263243</c:v>
                </c:pt>
                <c:pt idx="4">
                  <c:v>4.7056402521380676</c:v>
                </c:pt>
                <c:pt idx="5">
                  <c:v>4.5305922920947568</c:v>
                </c:pt>
                <c:pt idx="6">
                  <c:v>4.4918104085933397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A9-4BC1-99E4-FE4FE9A44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163464"/>
        <c:axId val="262163792"/>
      </c:scatterChart>
      <c:valAx>
        <c:axId val="262163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63792"/>
        <c:crosses val="autoZero"/>
        <c:crossBetween val="midCat"/>
      </c:valAx>
      <c:valAx>
        <c:axId val="26216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63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4_Kar9_1_20'!$D$5:$D$11</c:f>
              <c:numCache>
                <c:formatCode>General</c:formatCode>
                <c:ptCount val="7"/>
                <c:pt idx="0">
                  <c:v>3.82257723808288</c:v>
                </c:pt>
                <c:pt idx="1">
                  <c:v>7.6451544761657697</c:v>
                </c:pt>
                <c:pt idx="2">
                  <c:v>11.4677317142486</c:v>
                </c:pt>
                <c:pt idx="3">
                  <c:v>15.2903089523315</c:v>
                </c:pt>
                <c:pt idx="4">
                  <c:v>19.1128861904144</c:v>
                </c:pt>
                <c:pt idx="5">
                  <c:v>22.9354634284973</c:v>
                </c:pt>
                <c:pt idx="6">
                  <c:v>26.7580406665802</c:v>
                </c:pt>
              </c:numCache>
            </c:numRef>
          </c:xVal>
          <c:yVal>
            <c:numRef>
              <c:f>'231107_WT_4_Cell 4_Kar9_1_20'!$AB$5:$AB$11</c:f>
              <c:numCache>
                <c:formatCode>General</c:formatCode>
                <c:ptCount val="7"/>
                <c:pt idx="0">
                  <c:v>3.680436539298495</c:v>
                </c:pt>
                <c:pt idx="1">
                  <c:v>3.6050614448296319</c:v>
                </c:pt>
                <c:pt idx="2">
                  <c:v>3.3154503642841795</c:v>
                </c:pt>
                <c:pt idx="3">
                  <c:v>3.190662352040663</c:v>
                </c:pt>
                <c:pt idx="4">
                  <c:v>3.0192358930793555</c:v>
                </c:pt>
                <c:pt idx="5">
                  <c:v>2.8155202777692381</c:v>
                </c:pt>
                <c:pt idx="6">
                  <c:v>2.7662235653747778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F8-4EFD-A094-4906952CB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032384"/>
        <c:axId val="631032712"/>
      </c:scatterChart>
      <c:valAx>
        <c:axId val="63103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032712"/>
        <c:crosses val="autoZero"/>
        <c:crossBetween val="midCat"/>
      </c:valAx>
      <c:valAx>
        <c:axId val="631032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03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361951</xdr:colOff>
      <xdr:row>18</xdr:row>
      <xdr:rowOff>57150</xdr:rowOff>
    </xdr:from>
    <xdr:to>
      <xdr:col>17</xdr:col>
      <xdr:colOff>504825</xdr:colOff>
      <xdr:row>28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A7E2FF-4287-4691-8B64-EB044D935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466726</xdr:colOff>
      <xdr:row>19</xdr:row>
      <xdr:rowOff>119064</xdr:rowOff>
    </xdr:from>
    <xdr:to>
      <xdr:col>22</xdr:col>
      <xdr:colOff>266700</xdr:colOff>
      <xdr:row>26</xdr:row>
      <xdr:rowOff>123826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9D42CB-113D-4D3A-92BC-D613335F6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485775</xdr:colOff>
      <xdr:row>15</xdr:row>
      <xdr:rowOff>147637</xdr:rowOff>
    </xdr:from>
    <xdr:to>
      <xdr:col>12</xdr:col>
      <xdr:colOff>180975</xdr:colOff>
      <xdr:row>30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F4A46C-EC4C-4DA6-9E3B-CEFB23853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247650</xdr:colOff>
      <xdr:row>15</xdr:row>
      <xdr:rowOff>119062</xdr:rowOff>
    </xdr:from>
    <xdr:to>
      <xdr:col>17</xdr:col>
      <xdr:colOff>552450</xdr:colOff>
      <xdr:row>30</xdr:row>
      <xdr:rowOff>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A06476-6526-4182-9C13-95ACBB13E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"/>
  <sheetViews>
    <sheetView tabSelected="1" topLeftCell="D1" workbookViewId="0">
      <selection activeCell="AB19" sqref="AB19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30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30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15</v>
      </c>
    </row>
    <row r="4" spans="1:30" x14ac:dyDescent="0.25">
      <c r="A4" t="s">
        <v>16</v>
      </c>
      <c r="B4" t="s">
        <v>16</v>
      </c>
      <c r="C4" t="s">
        <v>16</v>
      </c>
      <c r="D4" t="s">
        <v>17</v>
      </c>
      <c r="F4" t="s">
        <v>18</v>
      </c>
      <c r="G4" t="s">
        <v>18</v>
      </c>
      <c r="V4" t="s">
        <v>20</v>
      </c>
      <c r="W4" t="s">
        <v>21</v>
      </c>
      <c r="Y4" t="s">
        <v>22</v>
      </c>
      <c r="AB4" t="s">
        <v>23</v>
      </c>
      <c r="AC4" t="s">
        <v>24</v>
      </c>
      <c r="AD4" t="s">
        <v>25</v>
      </c>
    </row>
    <row r="5" spans="1:30" x14ac:dyDescent="0.25">
      <c r="A5">
        <v>1.51156087704992</v>
      </c>
      <c r="B5">
        <v>0.73156737456617404</v>
      </c>
      <c r="C5">
        <v>2.5659602527560601</v>
      </c>
      <c r="D5">
        <v>3.82257723808288</v>
      </c>
      <c r="E5">
        <v>1</v>
      </c>
      <c r="F5">
        <v>127</v>
      </c>
      <c r="G5">
        <v>6844</v>
      </c>
      <c r="H5">
        <v>2.8964589994781602</v>
      </c>
      <c r="I5">
        <v>2.2269846985153201</v>
      </c>
      <c r="J5">
        <v>2.0152892196235999</v>
      </c>
      <c r="K5">
        <v>3.82257723808288</v>
      </c>
      <c r="L5">
        <v>1</v>
      </c>
      <c r="M5">
        <v>5.0884071522669201</v>
      </c>
      <c r="N5">
        <v>4.6704578042257996</v>
      </c>
      <c r="O5">
        <v>3.2950808606080999</v>
      </c>
      <c r="Q5">
        <f t="shared" ref="Q5:Q11" si="0">SQRT((A5-H5)^2+(B5-I5)^2+(C5-J5)^2)</f>
        <v>2.1112684265634396</v>
      </c>
      <c r="S5">
        <f>K11-K5</f>
        <v>22.935463428497322</v>
      </c>
      <c r="U5">
        <f>SQRT((A5-H5)^2+(B5-I5)^2+(C5-J5)^2)</f>
        <v>2.1112684265634396</v>
      </c>
      <c r="V5">
        <f>Q5-Q11</f>
        <v>1.0582321658069038</v>
      </c>
      <c r="W5">
        <f>SQRT((H5-H11)^2+(I5-I11)^2+(J5-J11)^2)</f>
        <v>1.0034957444708976</v>
      </c>
      <c r="X5">
        <f>SQRT((A5-M5)^2+(B5-N5)^2+(C5-O5)^2)</f>
        <v>5.3703169323786133</v>
      </c>
      <c r="Y5">
        <f>AVERAGE(H5,M5)</f>
        <v>3.9924330758725404</v>
      </c>
      <c r="Z5">
        <f>AVERAGE(I5,N5)</f>
        <v>3.4487212513705598</v>
      </c>
      <c r="AA5">
        <f>AVERAGE(J5,O5)</f>
        <v>2.6551850401158497</v>
      </c>
      <c r="AB5">
        <f>SQRT((A5-Y5)^2+(B5-Z5)^2+(C5-AA5)^2)</f>
        <v>3.680436539298495</v>
      </c>
      <c r="AD5">
        <f>D5-D$5</f>
        <v>0</v>
      </c>
    </row>
    <row r="6" spans="1:30" x14ac:dyDescent="0.25">
      <c r="A6">
        <v>1.4738647918463399</v>
      </c>
      <c r="B6">
        <v>0.72911788229504504</v>
      </c>
      <c r="C6">
        <v>2.5507438401445199</v>
      </c>
      <c r="D6">
        <v>7.6451544761657697</v>
      </c>
      <c r="E6">
        <v>2</v>
      </c>
      <c r="F6">
        <v>111</v>
      </c>
      <c r="G6">
        <v>5902</v>
      </c>
      <c r="H6">
        <v>2.90751021210398</v>
      </c>
      <c r="I6">
        <v>2.0364370801684299</v>
      </c>
      <c r="J6">
        <v>2.3833831759336199</v>
      </c>
      <c r="K6">
        <v>7.6451544761657697</v>
      </c>
      <c r="L6">
        <v>2</v>
      </c>
      <c r="M6">
        <v>5.0030134601341301</v>
      </c>
      <c r="N6">
        <v>4.64057699942098</v>
      </c>
      <c r="O6">
        <v>3.0658110150506301</v>
      </c>
      <c r="Q6">
        <f t="shared" si="0"/>
        <v>1.9474168192965597</v>
      </c>
      <c r="R6">
        <f>SQRT((A5-A6)^2+(B5-B6)^2+(C5-C6)^2)</f>
        <v>4.0725103619592341E-2</v>
      </c>
      <c r="T6">
        <f>SQRT((H5-H6)^2+(I5-I6)^2+(J5-J6)^2)</f>
        <v>0.41463681075145287</v>
      </c>
      <c r="U6">
        <f>SQRT((A5-H6)^2+(B5-I6)^2+(C5-J6)^2)</f>
        <v>1.9195556474396405</v>
      </c>
      <c r="X6">
        <f t="shared" ref="X6:X11" si="1">SQRT((A6-M6)^2+(B6-N6)^2+(C6-O6)^2)</f>
        <v>5.2933634810478338</v>
      </c>
      <c r="Y6">
        <f t="shared" ref="Y6:Y11" si="2">AVERAGE(H6,M6)</f>
        <v>3.955261836119055</v>
      </c>
      <c r="Z6">
        <f t="shared" ref="Z6:Z11" si="3">AVERAGE(I6,N6)</f>
        <v>3.3385070397947052</v>
      </c>
      <c r="AA6">
        <f t="shared" ref="AA6:AA11" si="4">AVERAGE(J6,O6)</f>
        <v>2.724597095492125</v>
      </c>
      <c r="AB6">
        <f t="shared" ref="AB6:AB11" si="5">SQRT((A6-Y6)^2+(B6-Z6)^2+(C6-AA6)^2)</f>
        <v>3.6050614448296319</v>
      </c>
      <c r="AC6">
        <f>(Q5-Q6)/(D6-D5)*60</f>
        <v>2.5718503050950283</v>
      </c>
      <c r="AD6">
        <f t="shared" ref="AD6:AD11" si="6">D6-D$5</f>
        <v>3.8225772380828897</v>
      </c>
    </row>
    <row r="7" spans="1:30" x14ac:dyDescent="0.25">
      <c r="A7">
        <v>1.45995012171604</v>
      </c>
      <c r="B7">
        <v>0.77248135831005704</v>
      </c>
      <c r="C7">
        <v>2.55970262529467</v>
      </c>
      <c r="D7">
        <v>11.4677317142486</v>
      </c>
      <c r="E7">
        <v>3</v>
      </c>
      <c r="F7">
        <v>78</v>
      </c>
      <c r="G7">
        <v>4344</v>
      </c>
      <c r="H7">
        <v>2.6621127980621599</v>
      </c>
      <c r="I7">
        <v>1.9053395033487499</v>
      </c>
      <c r="J7">
        <v>2.4405719183402099</v>
      </c>
      <c r="K7">
        <v>11.4677317142486</v>
      </c>
      <c r="L7">
        <v>3</v>
      </c>
      <c r="M7">
        <v>4.8527446726864998</v>
      </c>
      <c r="N7">
        <v>4.4166432607244301</v>
      </c>
      <c r="O7">
        <v>2.8666950300244798</v>
      </c>
      <c r="Q7">
        <f t="shared" si="0"/>
        <v>1.6561264452087114</v>
      </c>
      <c r="R7">
        <f t="shared" ref="R7:R11" si="7">SQRT((A6-A7)^2+(B6-B7)^2+(C6-C7)^2)</f>
        <v>4.6414102687719068E-2</v>
      </c>
      <c r="T7">
        <f t="shared" ref="T7:T11" si="8">SQRT((H6-H7)^2+(I6-I7)^2+(J6-J7)^2)</f>
        <v>0.28403700062571363</v>
      </c>
      <c r="U7">
        <f>SQRT((A5-H7)^2+(B5-I7)^2+(C5-J7)^2)</f>
        <v>1.6484031568943673</v>
      </c>
      <c r="X7">
        <f t="shared" si="1"/>
        <v>4.988508311375754</v>
      </c>
      <c r="Y7">
        <f t="shared" si="2"/>
        <v>3.7574287353743299</v>
      </c>
      <c r="Z7">
        <f t="shared" si="3"/>
        <v>3.16099138203659</v>
      </c>
      <c r="AA7">
        <f t="shared" si="4"/>
        <v>2.6536334741823451</v>
      </c>
      <c r="AB7">
        <f t="shared" si="5"/>
        <v>3.3154503642841795</v>
      </c>
      <c r="AC7">
        <f>(Q6-Q7)/(D7-D6)*60</f>
        <v>4.572156782379758</v>
      </c>
      <c r="AD7">
        <f t="shared" si="6"/>
        <v>7.64515447616572</v>
      </c>
    </row>
    <row r="8" spans="1:30" x14ac:dyDescent="0.25">
      <c r="A8">
        <v>1.39765333962135</v>
      </c>
      <c r="B8">
        <v>0.82298232050240805</v>
      </c>
      <c r="C8">
        <v>2.49636544863553</v>
      </c>
      <c r="D8">
        <v>15.2903089523315</v>
      </c>
      <c r="E8">
        <v>4</v>
      </c>
      <c r="F8">
        <v>95</v>
      </c>
      <c r="G8">
        <v>5208</v>
      </c>
      <c r="H8">
        <v>2.5259751877380299</v>
      </c>
      <c r="I8">
        <v>1.8035265073208999</v>
      </c>
      <c r="J8">
        <v>2.4861439594926602</v>
      </c>
      <c r="K8">
        <v>15.2903089523315</v>
      </c>
      <c r="L8">
        <v>4</v>
      </c>
      <c r="M8">
        <v>4.8239035128098502</v>
      </c>
      <c r="N8">
        <v>4.2981953713709498</v>
      </c>
      <c r="O8">
        <v>2.8578790106498002</v>
      </c>
      <c r="Q8">
        <f t="shared" si="0"/>
        <v>1.4948851374206902</v>
      </c>
      <c r="R8">
        <f t="shared" si="7"/>
        <v>0.10219018636276998</v>
      </c>
      <c r="T8">
        <f t="shared" si="8"/>
        <v>0.17600041488511414</v>
      </c>
      <c r="U8">
        <f>SQRT((A5-H8)^2+(B5-I8)^2+(C5-J8)^2)</f>
        <v>1.4780065685562451</v>
      </c>
      <c r="X8">
        <f t="shared" si="1"/>
        <v>4.8935659854263243</v>
      </c>
      <c r="Y8">
        <f t="shared" si="2"/>
        <v>3.6749393502739398</v>
      </c>
      <c r="Z8">
        <f t="shared" si="3"/>
        <v>3.0508609393459247</v>
      </c>
      <c r="AA8">
        <f t="shared" si="4"/>
        <v>2.6720114850712302</v>
      </c>
      <c r="AB8">
        <f t="shared" si="5"/>
        <v>3.190662352040663</v>
      </c>
      <c r="AC8">
        <f t="shared" ref="AC8:AC11" si="9">(Q7-Q8)/(D8-D7)*60</f>
        <v>2.5308784792882886</v>
      </c>
      <c r="AD8">
        <f t="shared" si="6"/>
        <v>11.46773171424862</v>
      </c>
    </row>
    <row r="9" spans="1:30" x14ac:dyDescent="0.25">
      <c r="A9">
        <v>1.4636929129312599</v>
      </c>
      <c r="B9">
        <v>0.80716168274918099</v>
      </c>
      <c r="C9">
        <v>2.5726849374194098</v>
      </c>
      <c r="D9">
        <v>19.1128861904144</v>
      </c>
      <c r="E9">
        <v>5</v>
      </c>
      <c r="F9">
        <v>65</v>
      </c>
      <c r="G9">
        <v>3589</v>
      </c>
      <c r="H9">
        <v>2.4364384433851001</v>
      </c>
      <c r="I9">
        <v>1.73022360211183</v>
      </c>
      <c r="J9">
        <v>2.4702512327881498</v>
      </c>
      <c r="K9">
        <v>19.1128861904144</v>
      </c>
      <c r="L9">
        <v>5</v>
      </c>
      <c r="M9">
        <v>4.8973698545047801</v>
      </c>
      <c r="N9">
        <v>4.0051254822355</v>
      </c>
      <c r="O9">
        <v>2.9275657351858699</v>
      </c>
      <c r="Q9">
        <f t="shared" si="0"/>
        <v>1.3449051408333097</v>
      </c>
      <c r="R9">
        <f t="shared" si="7"/>
        <v>0.10215763402754864</v>
      </c>
      <c r="T9">
        <f t="shared" si="8"/>
        <v>0.11680206874673089</v>
      </c>
      <c r="U9">
        <f>SQRT((A5-H9)^2+(B5-I9)^2+(C5-J9)^2)</f>
        <v>1.3645046683793443</v>
      </c>
      <c r="X9">
        <f t="shared" si="1"/>
        <v>4.7056402521380676</v>
      </c>
      <c r="Y9">
        <f t="shared" si="2"/>
        <v>3.6669041489449401</v>
      </c>
      <c r="Z9">
        <f t="shared" si="3"/>
        <v>2.8676745421736651</v>
      </c>
      <c r="AA9">
        <f t="shared" si="4"/>
        <v>2.6989084839870099</v>
      </c>
      <c r="AB9">
        <f t="shared" si="5"/>
        <v>3.0192358930793555</v>
      </c>
      <c r="AC9">
        <f t="shared" si="9"/>
        <v>2.3541185003644056</v>
      </c>
      <c r="AD9">
        <f t="shared" si="6"/>
        <v>15.29030895233152</v>
      </c>
    </row>
    <row r="10" spans="1:30" x14ac:dyDescent="0.25">
      <c r="A10">
        <v>1.5028588124486899</v>
      </c>
      <c r="B10">
        <v>0.84610858461524596</v>
      </c>
      <c r="C10">
        <v>2.54106761033536</v>
      </c>
      <c r="D10">
        <v>22.9354634284973</v>
      </c>
      <c r="E10">
        <v>6</v>
      </c>
      <c r="F10">
        <v>90</v>
      </c>
      <c r="G10">
        <v>5586</v>
      </c>
      <c r="H10">
        <v>2.31519378357951</v>
      </c>
      <c r="I10">
        <v>1.59843360975976</v>
      </c>
      <c r="J10">
        <v>2.3921825356825299</v>
      </c>
      <c r="K10">
        <v>22.9354634284973</v>
      </c>
      <c r="L10">
        <v>6</v>
      </c>
      <c r="M10">
        <v>4.8684386674690803</v>
      </c>
      <c r="N10">
        <v>3.86733209083912</v>
      </c>
      <c r="O10">
        <v>2.8081767305646599</v>
      </c>
      <c r="Q10">
        <f t="shared" si="0"/>
        <v>1.1171606035996717</v>
      </c>
      <c r="R10">
        <f t="shared" si="7"/>
        <v>6.3643414599737741E-2</v>
      </c>
      <c r="T10">
        <f>SQRT((H9-H10)^2+(I9-I10)^2+(J9-J10)^2)</f>
        <v>0.19535503854086017</v>
      </c>
      <c r="U10">
        <f>SQRT((A5-H10)^2+(B5-I10)^2+(C5-J10)^2)</f>
        <v>1.1947726198432846</v>
      </c>
      <c r="X10">
        <f t="shared" si="1"/>
        <v>4.5305922920947568</v>
      </c>
      <c r="Y10">
        <f t="shared" si="2"/>
        <v>3.5918162255242949</v>
      </c>
      <c r="Z10">
        <f t="shared" si="3"/>
        <v>2.7328828502994398</v>
      </c>
      <c r="AA10">
        <f t="shared" si="4"/>
        <v>2.6001796331235951</v>
      </c>
      <c r="AB10">
        <f t="shared" si="5"/>
        <v>2.8155202777692381</v>
      </c>
      <c r="AC10">
        <f t="shared" si="9"/>
        <v>3.5747275680612245</v>
      </c>
      <c r="AD10">
        <f t="shared" si="6"/>
        <v>19.112886190414422</v>
      </c>
    </row>
    <row r="11" spans="1:30" x14ac:dyDescent="0.25">
      <c r="A11">
        <v>1.53145968607177</v>
      </c>
      <c r="B11">
        <v>0.84968623386404896</v>
      </c>
      <c r="C11">
        <v>2.56751946367168</v>
      </c>
      <c r="D11">
        <v>26.7580406665802</v>
      </c>
      <c r="E11">
        <v>7</v>
      </c>
      <c r="F11">
        <v>209</v>
      </c>
      <c r="G11">
        <v>11533</v>
      </c>
      <c r="H11">
        <v>2.2917328449084402</v>
      </c>
      <c r="I11">
        <v>1.57264633410016</v>
      </c>
      <c r="J11">
        <v>2.4769723273988502</v>
      </c>
      <c r="K11">
        <v>26.7580406665802</v>
      </c>
      <c r="L11">
        <v>7</v>
      </c>
      <c r="M11">
        <v>4.8521144319358296</v>
      </c>
      <c r="N11">
        <v>3.8517004767435501</v>
      </c>
      <c r="O11">
        <v>2.93836079236439</v>
      </c>
      <c r="Q11">
        <f t="shared" si="0"/>
        <v>1.0530362607565358</v>
      </c>
      <c r="R11">
        <f t="shared" si="7"/>
        <v>3.9121734254465808E-2</v>
      </c>
      <c r="T11">
        <f t="shared" si="8"/>
        <v>9.1677194593687672E-2</v>
      </c>
      <c r="U11">
        <f>SQRT((A5-H11)^2+(B5-I11)^2+(C5-J11)^2)</f>
        <v>1.1506524090542671</v>
      </c>
      <c r="X11">
        <f t="shared" si="1"/>
        <v>4.4918104085933397</v>
      </c>
      <c r="Y11">
        <f t="shared" si="2"/>
        <v>3.5719236384221347</v>
      </c>
      <c r="Z11">
        <f t="shared" si="3"/>
        <v>2.7121734054218551</v>
      </c>
      <c r="AA11">
        <f t="shared" si="4"/>
        <v>2.7076665598816199</v>
      </c>
      <c r="AB11">
        <f t="shared" si="5"/>
        <v>2.7662235653747778</v>
      </c>
      <c r="AC11">
        <f t="shared" si="9"/>
        <v>1.0065095695797468</v>
      </c>
      <c r="AD11">
        <f t="shared" si="6"/>
        <v>22.935463428497322</v>
      </c>
    </row>
    <row r="14" spans="1:30" x14ac:dyDescent="0.25">
      <c r="J14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231107_WT_4_Cell 4_Kar9_1_20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2024-05-21T20:49:21Z</dcterms:created>
  <dcterms:modified xsi:type="dcterms:W3CDTF">2024-06-17T18:35:41Z</dcterms:modified>
</cp:coreProperties>
</file>