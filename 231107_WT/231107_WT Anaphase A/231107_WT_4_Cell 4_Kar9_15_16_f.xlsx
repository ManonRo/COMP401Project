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E5343BDD-78CD-4864-9429-9D1405E222C7}" xr6:coauthVersionLast="45" xr6:coauthVersionMax="45" xr10:uidLastSave="{00000000-0000-0000-0000-000000000000}"/>
  <bookViews>
    <workbookView xWindow="1515" yWindow="1650" windowWidth="27285" windowHeight="14550" xr2:uid="{00000000-000D-0000-FFFF-FFFF00000000}"/>
  </bookViews>
  <sheets>
    <sheet name="231107_WT_4_Cell 4_Kar9_15_16_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9" i="1" l="1"/>
  <c r="M9" i="1" l="1"/>
  <c r="K9" i="1"/>
  <c r="J9" i="1"/>
  <c r="J5" i="1"/>
  <c r="J11" i="1" l="1"/>
  <c r="J10" i="1"/>
  <c r="K5" i="1" l="1"/>
</calcChain>
</file>

<file path=xl/sharedStrings.xml><?xml version="1.0" encoding="utf-8"?>
<sst xmlns="http://schemas.openxmlformats.org/spreadsheetml/2006/main" count="32" uniqueCount="23">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</sst>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S9" sqref="S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13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  <row r="4" spans="1:13" x14ac:dyDescent="0.25">
      <c r="A4" t="s">
        <v>19</v>
      </c>
      <c r="B4" t="s">
        <v>19</v>
      </c>
      <c r="C4" t="s">
        <v>19</v>
      </c>
      <c r="D4" t="s">
        <v>20</v>
      </c>
      <c r="F4" t="s">
        <v>21</v>
      </c>
      <c r="G4" t="s">
        <v>21</v>
      </c>
      <c r="H4" t="s">
        <v>21</v>
      </c>
    </row>
    <row r="5" spans="1:13" x14ac:dyDescent="0.25">
      <c r="A5">
        <v>1.4245337249913399</v>
      </c>
      <c r="B5">
        <v>0.85865487679256303</v>
      </c>
      <c r="C5">
        <v>2.7237961509831798</v>
      </c>
      <c r="D5">
        <v>3.82257723808288</v>
      </c>
      <c r="E5">
        <v>1</v>
      </c>
      <c r="F5">
        <v>20</v>
      </c>
      <c r="G5">
        <v>73</v>
      </c>
      <c r="H5">
        <v>3994</v>
      </c>
      <c r="J5">
        <f>SQRT((A5-A6)^2+(B5-B6)^2+(C5-C6)^2)</f>
        <v>0.43105656417084964</v>
      </c>
      <c r="K5">
        <f>(J5/D5)*60</f>
        <v>6.76595716434029</v>
      </c>
    </row>
    <row r="6" spans="1:13" x14ac:dyDescent="0.25">
      <c r="A6">
        <v>1.6933760316412101</v>
      </c>
      <c r="B6">
        <v>1.0429539431996</v>
      </c>
      <c r="C6">
        <v>3.0058731436491</v>
      </c>
      <c r="D6">
        <v>3.82257723808288</v>
      </c>
      <c r="E6">
        <v>1</v>
      </c>
      <c r="F6">
        <v>10</v>
      </c>
      <c r="G6">
        <v>25</v>
      </c>
      <c r="H6">
        <v>1435</v>
      </c>
    </row>
    <row r="7" spans="1:13" x14ac:dyDescent="0.25">
      <c r="A7">
        <v>1.4587208176872799</v>
      </c>
      <c r="B7">
        <v>0.81769561304262595</v>
      </c>
      <c r="C7">
        <v>2.7115387053208</v>
      </c>
      <c r="D7">
        <v>0</v>
      </c>
      <c r="E7">
        <v>0</v>
      </c>
      <c r="F7">
        <v>33</v>
      </c>
      <c r="G7">
        <v>100</v>
      </c>
      <c r="H7">
        <v>5376</v>
      </c>
    </row>
    <row r="9" spans="1:13" x14ac:dyDescent="0.25">
      <c r="A9">
        <v>2.09716178666738</v>
      </c>
      <c r="B9">
        <v>1.3557064034307</v>
      </c>
      <c r="C9">
        <v>2.7568293226934601</v>
      </c>
      <c r="D9">
        <v>53.5160813331604</v>
      </c>
      <c r="E9">
        <v>14</v>
      </c>
      <c r="J9">
        <f>SQRT((A9-A7)^2+(B9-B7)^2+(C9-C7)^2)</f>
        <v>0.83613020604942023</v>
      </c>
      <c r="K9">
        <f>J11-J10</f>
        <v>0.30840478051657111</v>
      </c>
      <c r="L9">
        <f>(K9/D5)*60</f>
        <v>4.8407882113258847</v>
      </c>
      <c r="M9">
        <f>(J9-J11)/(D5)*60</f>
        <v>1.4119607960618379</v>
      </c>
    </row>
    <row r="10" spans="1:13" x14ac:dyDescent="0.25">
      <c r="A10">
        <v>2.0406587945894601</v>
      </c>
      <c r="B10">
        <v>1.2598797874227701</v>
      </c>
      <c r="C10">
        <v>2.8510171458942102</v>
      </c>
      <c r="D10">
        <v>57.338658571243201</v>
      </c>
      <c r="E10">
        <v>15</v>
      </c>
      <c r="J10">
        <f>SQRT((A10-A6)^2+(B10-B6)^2+(C10-C6)^2)</f>
        <v>0.4377699388646597</v>
      </c>
      <c r="L10" t="s">
        <v>22</v>
      </c>
    </row>
    <row r="11" spans="1:13" x14ac:dyDescent="0.25">
      <c r="J11">
        <f>SQRT((A10-A5)^2+(B10-B5)^2+(C10-C5)^2)</f>
        <v>0.74617471938123081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4_Kar9_15_16_f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2024-05-28T21:30:25Z</dcterms:created>
  <dcterms:modified xsi:type="dcterms:W3CDTF">2024-06-12T20:35:04Z</dcterms:modified>
</cp:coreProperties>
</file>