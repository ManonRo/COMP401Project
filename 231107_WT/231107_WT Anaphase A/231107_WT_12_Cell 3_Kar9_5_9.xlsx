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604F8A5A-16C8-4CC5-AE96-F1E963FD7889}" xr6:coauthVersionLast="45" xr6:coauthVersionMax="45" xr10:uidLastSave="{00000000-0000-0000-0000-000000000000}"/>
  <bookViews>
    <workbookView xWindow="30135" yWindow="1095" windowWidth="23790" windowHeight="13980" xr2:uid="{00000000-000D-0000-FFFF-FFFF00000000}"/>
  </bookViews>
  <sheets>
    <sheet name="231107_WT_12_Cell 3_Kar9_5_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1" i="1" l="1"/>
  <c r="K12" i="1"/>
  <c r="K13" i="1"/>
  <c r="K14" i="1"/>
  <c r="K10" i="1"/>
  <c r="K6" i="1"/>
  <c r="K7" i="1"/>
  <c r="K8" i="1"/>
  <c r="K9" i="1"/>
  <c r="K5" i="1"/>
</calcChain>
</file>

<file path=xl/sharedStrings.xml><?xml version="1.0" encoding="utf-8"?>
<sst xmlns="http://schemas.openxmlformats.org/spreadsheetml/2006/main" count="34" uniqueCount="24">
  <si>
    <t>TRACK_ID</t>
  </si>
  <si>
    <t>POSITION_X</t>
  </si>
  <si>
    <t>POSITION_Y</t>
  </si>
  <si>
    <t>POSITION_Z</t>
  </si>
  <si>
    <t>POSITION_T</t>
  </si>
  <si>
    <t>FRAME</t>
  </si>
  <si>
    <t>MIN_INTENSITY_CH2</t>
  </si>
  <si>
    <t>MAX_INTENSITY_CH2</t>
  </si>
  <si>
    <t>TOTAL_INTENSITY_CH2</t>
  </si>
  <si>
    <t>Track ID</t>
  </si>
  <si>
    <t>X</t>
  </si>
  <si>
    <t>Y</t>
  </si>
  <si>
    <t>Z</t>
  </si>
  <si>
    <t>T</t>
  </si>
  <si>
    <t>Frame</t>
  </si>
  <si>
    <t>Min intensity ch2</t>
  </si>
  <si>
    <t>Max intensity ch2</t>
  </si>
  <si>
    <t>Sum intensity ch2</t>
  </si>
  <si>
    <t>Min ch2</t>
  </si>
  <si>
    <t>Max ch2</t>
  </si>
  <si>
    <t>Sum ch2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</si>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</sst>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L5" sqref="L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1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20</v>
      </c>
    </row>
    <row r="4" spans="1:11" x14ac:dyDescent="0.25">
      <c r="B4" t="s">
        <v>21</v>
      </c>
      <c r="C4" t="s">
        <v>21</v>
      </c>
      <c r="D4" t="s">
        <v>21</v>
      </c>
      <c r="E4" t="s">
        <v>22</v>
      </c>
      <c r="G4" t="s">
        <v>23</v>
      </c>
      <c r="H4" t="s">
        <v>23</v>
      </c>
      <c r="I4" t="s">
        <v>23</v>
      </c>
    </row>
    <row r="5" spans="1:11" x14ac:dyDescent="0.25">
      <c r="A5">
        <v>0</v>
      </c>
      <c r="B5">
        <v>4.9087826555186904</v>
      </c>
      <c r="C5">
        <v>1.7433959267186301</v>
      </c>
      <c r="D5">
        <v>2.9236071999327198</v>
      </c>
      <c r="E5">
        <v>0</v>
      </c>
      <c r="F5">
        <v>0</v>
      </c>
      <c r="G5">
        <v>45</v>
      </c>
      <c r="H5">
        <v>114</v>
      </c>
      <c r="I5">
        <v>6255</v>
      </c>
      <c r="K5">
        <f>SQRT((B5-B17)^2+(C5-C17)^2+(D5-D17)^2)</f>
        <v>1.7188759067818606</v>
      </c>
    </row>
    <row r="6" spans="1:11" x14ac:dyDescent="0.25">
      <c r="A6">
        <v>0</v>
      </c>
      <c r="B6">
        <v>5.0911417985034602</v>
      </c>
      <c r="C6">
        <v>1.6024878795850599</v>
      </c>
      <c r="D6">
        <v>2.78994317843804</v>
      </c>
      <c r="E6">
        <v>3.8225760459899898</v>
      </c>
      <c r="F6">
        <v>1</v>
      </c>
      <c r="G6">
        <v>19</v>
      </c>
      <c r="H6">
        <v>50</v>
      </c>
      <c r="I6">
        <v>2961</v>
      </c>
      <c r="K6">
        <f t="shared" ref="K6:K9" si="0">SQRT((B6-B18)^2+(C6-C18)^2+(D6-D18)^2)</f>
        <v>1.7782484663330684</v>
      </c>
    </row>
    <row r="7" spans="1:11" x14ac:dyDescent="0.25">
      <c r="A7">
        <v>0</v>
      </c>
      <c r="B7">
        <v>5.04073624621289</v>
      </c>
      <c r="C7">
        <v>1.50866653365838</v>
      </c>
      <c r="D7">
        <v>2.8250792377642502</v>
      </c>
      <c r="E7">
        <v>7.6451520919799796</v>
      </c>
      <c r="F7">
        <v>2</v>
      </c>
      <c r="G7">
        <v>34</v>
      </c>
      <c r="H7">
        <v>85</v>
      </c>
      <c r="I7">
        <v>4733</v>
      </c>
      <c r="K7">
        <f t="shared" si="0"/>
        <v>1.818453135806382</v>
      </c>
    </row>
    <row r="8" spans="1:11" x14ac:dyDescent="0.25">
      <c r="A8">
        <v>0</v>
      </c>
      <c r="B8">
        <v>5.0603156480817297</v>
      </c>
      <c r="C8">
        <v>1.4270129629633099</v>
      </c>
      <c r="D8">
        <v>2.5243816997825301</v>
      </c>
      <c r="E8">
        <v>11.4677281379699</v>
      </c>
      <c r="F8">
        <v>3</v>
      </c>
      <c r="G8">
        <v>51</v>
      </c>
      <c r="H8">
        <v>155</v>
      </c>
      <c r="I8">
        <v>8544</v>
      </c>
      <c r="K8">
        <f t="shared" si="0"/>
        <v>1.8836011006549613</v>
      </c>
    </row>
    <row r="9" spans="1:11" x14ac:dyDescent="0.25">
      <c r="A9">
        <v>0</v>
      </c>
      <c r="B9">
        <v>4.8489129401558904</v>
      </c>
      <c r="C9">
        <v>1.4296096175672599</v>
      </c>
      <c r="D9">
        <v>3.11489722741074</v>
      </c>
      <c r="E9">
        <v>15.290304183959901</v>
      </c>
      <c r="F9">
        <v>4</v>
      </c>
      <c r="G9">
        <v>47</v>
      </c>
      <c r="H9">
        <v>129</v>
      </c>
      <c r="I9">
        <v>7199</v>
      </c>
      <c r="K9">
        <f t="shared" si="0"/>
        <v>2.0415985828424099</v>
      </c>
    </row>
    <row r="10" spans="1:11" x14ac:dyDescent="0.25">
      <c r="A10">
        <v>1</v>
      </c>
      <c r="B10">
        <v>4.7202709201689999</v>
      </c>
      <c r="C10">
        <v>2.6708959644765198</v>
      </c>
      <c r="D10">
        <v>2.49935488362626</v>
      </c>
      <c r="E10">
        <v>0</v>
      </c>
      <c r="F10">
        <v>0</v>
      </c>
      <c r="G10">
        <v>167</v>
      </c>
      <c r="H10">
        <v>442</v>
      </c>
      <c r="I10">
        <v>24575</v>
      </c>
      <c r="K10">
        <f>SQRT((B10-B17)^2+(C10-C17)^2+(D10-D17)^2)</f>
        <v>0.6831488219463524</v>
      </c>
    </row>
    <row r="11" spans="1:11" x14ac:dyDescent="0.25">
      <c r="A11">
        <v>1</v>
      </c>
      <c r="B11">
        <v>4.8006850344694003</v>
      </c>
      <c r="C11">
        <v>2.5886718818602299</v>
      </c>
      <c r="D11">
        <v>2.5178405495357299</v>
      </c>
      <c r="E11">
        <v>3.8225760459899898</v>
      </c>
      <c r="F11">
        <v>1</v>
      </c>
      <c r="G11">
        <v>145</v>
      </c>
      <c r="H11">
        <v>405</v>
      </c>
      <c r="I11">
        <v>22544</v>
      </c>
      <c r="K11">
        <f t="shared" ref="K11:K14" si="1">SQRT((B11-B18)^2+(C11-C18)^2+(D11-D18)^2)</f>
        <v>0.71583511751630979</v>
      </c>
    </row>
    <row r="12" spans="1:11" x14ac:dyDescent="0.25">
      <c r="A12">
        <v>1</v>
      </c>
      <c r="B12">
        <v>4.8344755734699802</v>
      </c>
      <c r="C12">
        <v>2.4499566318885</v>
      </c>
      <c r="D12">
        <v>2.5757367128662501</v>
      </c>
      <c r="E12">
        <v>7.6451520919799796</v>
      </c>
      <c r="F12">
        <v>2</v>
      </c>
      <c r="G12">
        <v>69</v>
      </c>
      <c r="H12">
        <v>207</v>
      </c>
      <c r="I12">
        <v>11632</v>
      </c>
      <c r="K12">
        <f t="shared" si="1"/>
        <v>0.82421470469441482</v>
      </c>
    </row>
    <row r="13" spans="1:11" x14ac:dyDescent="0.25">
      <c r="A13">
        <v>1</v>
      </c>
      <c r="B13">
        <v>4.8049459414489402</v>
      </c>
      <c r="C13">
        <v>2.3591447638666398</v>
      </c>
      <c r="D13">
        <v>2.3567672943073998</v>
      </c>
      <c r="E13">
        <v>11.4677281379699</v>
      </c>
      <c r="F13">
        <v>3</v>
      </c>
      <c r="G13">
        <v>74</v>
      </c>
      <c r="H13">
        <v>236</v>
      </c>
      <c r="I13">
        <v>13047</v>
      </c>
      <c r="K13">
        <f t="shared" si="1"/>
        <v>0.90531632230630799</v>
      </c>
    </row>
    <row r="14" spans="1:11" x14ac:dyDescent="0.25">
      <c r="A14">
        <v>1</v>
      </c>
      <c r="B14">
        <v>4.6718033588790098</v>
      </c>
      <c r="C14">
        <v>2.2730465053831801</v>
      </c>
      <c r="D14">
        <v>2.6818647670481899</v>
      </c>
      <c r="E14">
        <v>15.290304183959901</v>
      </c>
      <c r="F14">
        <v>4</v>
      </c>
      <c r="G14">
        <v>84</v>
      </c>
      <c r="H14">
        <v>215</v>
      </c>
      <c r="I14">
        <v>11856</v>
      </c>
      <c r="K14">
        <f t="shared" si="1"/>
        <v>1.0777104539735618</v>
      </c>
    </row>
    <row r="17" spans="2:6" x14ac:dyDescent="0.25">
      <c r="B17">
        <v>4.6381731823035803</v>
      </c>
      <c r="C17">
        <v>3.3029177548459598</v>
      </c>
      <c r="D17">
        <v>2.2533859204169202</v>
      </c>
      <c r="E17">
        <v>15.290304183959901</v>
      </c>
      <c r="F17">
        <v>4</v>
      </c>
    </row>
    <row r="18" spans="2:6" x14ac:dyDescent="0.25">
      <c r="B18">
        <v>4.6288301735836201</v>
      </c>
      <c r="C18">
        <v>3.2454728611920398</v>
      </c>
      <c r="D18">
        <v>2.2909081899915398</v>
      </c>
      <c r="E18">
        <v>19.112880229949901</v>
      </c>
      <c r="F18">
        <v>5</v>
      </c>
    </row>
    <row r="19" spans="2:6" x14ac:dyDescent="0.25">
      <c r="B19">
        <v>4.6074129934621402</v>
      </c>
      <c r="C19">
        <v>3.21691811721931</v>
      </c>
      <c r="D19">
        <v>2.3768836409416698</v>
      </c>
      <c r="E19">
        <v>22.935456275939899</v>
      </c>
      <c r="F19">
        <v>6</v>
      </c>
    </row>
    <row r="20" spans="2:6" x14ac:dyDescent="0.25">
      <c r="B20">
        <v>4.5972329123114601</v>
      </c>
      <c r="C20">
        <v>3.2378906785139598</v>
      </c>
      <c r="D20">
        <v>2.2915096629421998</v>
      </c>
      <c r="E20">
        <v>26.7580323219299</v>
      </c>
      <c r="F20">
        <v>7</v>
      </c>
    </row>
    <row r="21" spans="2:6" x14ac:dyDescent="0.25">
      <c r="B21">
        <v>4.5258366709342503</v>
      </c>
      <c r="C21">
        <v>3.2261526792522202</v>
      </c>
      <c r="D21">
        <v>2.2004687035546699</v>
      </c>
      <c r="E21">
        <v>30.580608367919901</v>
      </c>
      <c r="F2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231107_WT_12_Cell 3_Kar9_5_9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2024-05-25T19:18:32Z</dcterms:created>
  <dcterms:modified xsi:type="dcterms:W3CDTF">2024-05-25T19:20:46Z</dcterms:modified>
</cp:coreProperties>
</file>