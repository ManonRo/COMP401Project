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Metaphase\"/>
    </mc:Choice>
  </mc:AlternateContent>
  <xr:revisionPtr revIDLastSave="0" documentId="13_ncr:1_{CFDD62A2-C0F5-4447-BCB9-31932A6966D1}" xr6:coauthVersionLast="45" xr6:coauthVersionMax="45" xr10:uidLastSave="{00000000-0000-0000-0000-000000000000}"/>
  <bookViews>
    <workbookView xWindow="120" yWindow="210" windowWidth="27345" windowHeight="14145" xr2:uid="{00000000-000D-0000-FFFF-FFFF00000000}"/>
  </bookViews>
  <sheets>
    <sheet name="231107_WT_3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5" i="1" l="1"/>
  <c r="Z6" i="1" l="1"/>
  <c r="Z7" i="1"/>
  <c r="Z8" i="1"/>
  <c r="Z9" i="1"/>
  <c r="Z10" i="1"/>
  <c r="Z11" i="1"/>
  <c r="Z12" i="1"/>
  <c r="Z13" i="1"/>
  <c r="Z14" i="1"/>
  <c r="Z5" i="1"/>
  <c r="Y6" i="1"/>
  <c r="Y7" i="1"/>
  <c r="Y8" i="1"/>
  <c r="Y9" i="1"/>
  <c r="Y10" i="1"/>
  <c r="Y11" i="1"/>
  <c r="Y12" i="1"/>
  <c r="Y13" i="1"/>
  <c r="Y1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<sst xmlns="http://schemas.openxmlformats.org/spreadsheetml/2006/main" count="46" uniqueCount="33">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</sst>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'231107_WT_3_Cell 1_SPB'!$Y$5:$Y$14</c:f>
              <c:numCache>
                <c:formatCode>General</c:formatCode>
                <c:ptCount val="10"/>
                <c:pt idx="0">
                  <c:v>0</c:v>
                </c:pt>
                <c:pt idx="1">
                  <c:v>6.3709648450215497E-2</c:v>
                </c:pt>
                <c:pt idx="2">
                  <c:v>0.12741929690043116</c:v>
                </c:pt>
                <c:pt idx="3">
                  <c:v>0.19112894535064667</c:v>
                </c:pt>
                <c:pt idx="4">
                  <c:v>0.25483859380086166</c:v>
                </c:pt>
                <c:pt idx="5">
                  <c:v>0.3185482422510767</c:v>
                </c:pt>
                <c:pt idx="6">
                  <c:v>0.38225789070129335</c:v>
                </c:pt>
                <c:pt idx="7">
                  <c:v>0.44596753915150839</c:v>
                </c:pt>
                <c:pt idx="8">
                  <c:v>0.76451578140258669</c:v>
                </c:pt>
                <c:pt idx="9">
                  <c:v>0.82822542985280334</c:v>
                </c:pt>
              </c:numCache>
            </c:numRef>
          </c:xVal>
          <c:yVal>
            <c:numRef>
              <c:f>'231107_WT_3_Cell 1_SPB'!$Z$5:$Z$14</c:f>
              <c:numCache>
                <c:formatCode>General</c:formatCode>
                <c:ptCount val="10"/>
                <c:pt idx="0">
                  <c:v>1.698673487261801</c:v>
                </c:pt>
                <c:pt idx="1">
                  <c:v>1.6894632839678803</c:v>
                </c:pt>
                <c:pt idx="2">
                  <c:v>1.66863771454143</c:v>
                </c:pt>
                <c:pt idx="3">
                  <c:v>1.6978614738124447</c:v>
                </c:pt>
                <c:pt idx="4">
                  <c:v>1.7000302729691119</c:v>
                </c:pt>
                <c:pt idx="5">
                  <c:v>1.7187511532396103</c:v>
                </c:pt>
                <c:pt idx="6">
                  <c:v>1.6719380002050381</c:v>
                </c:pt>
                <c:pt idx="7">
                  <c:v>1.6277868024353919</c:v>
                </c:pt>
                <c:pt idx="8">
                  <c:v>1.6086811557585616</c:v>
                </c:pt>
                <c:pt idx="9">
                  <c:v>1.5810640407451058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B-4EA9-ABB8-B11F5695C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681632"/>
        <c:axId val="355681304"/>
      </c:scatterChart>
      <c:valAx>
        <c:axId val="3556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81304"/>
        <c:crosses val="autoZero"/>
        <c:crossBetween val="midCat"/>
      </c:valAx>
      <c:valAx>
        <c:axId val="35568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13</xdr:row>
      <xdr:rowOff>133350</xdr:rowOff>
    </xdr:from>
    <xdr:to>
      <xdr:col>15</xdr:col>
      <xdr:colOff>485775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9D68B-64CC-4592-A1F3-132C844C1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topLeftCell="F1" workbookViewId="0">
      <selection activeCell="Z15" sqref="Z1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3.2849710002199899</v>
      </c>
      <c r="C5">
        <v>3.36799203271931</v>
      </c>
      <c r="D5">
        <v>2.2059702572134299</v>
      </c>
      <c r="E5">
        <v>0</v>
      </c>
      <c r="F5">
        <v>0</v>
      </c>
      <c r="G5">
        <v>153.95555555555501</v>
      </c>
      <c r="H5">
        <v>148</v>
      </c>
      <c r="I5">
        <v>47</v>
      </c>
      <c r="J5">
        <v>276</v>
      </c>
      <c r="K5">
        <v>20784</v>
      </c>
      <c r="L5">
        <v>59.261734988361901</v>
      </c>
      <c r="M5">
        <v>1</v>
      </c>
      <c r="N5">
        <v>4.9350273732072596</v>
      </c>
      <c r="O5">
        <v>3.1747174241328699</v>
      </c>
      <c r="P5">
        <v>1.85178032516281</v>
      </c>
      <c r="Q5">
        <v>0</v>
      </c>
      <c r="R5">
        <v>0</v>
      </c>
      <c r="S5">
        <v>54.5555555555555</v>
      </c>
      <c r="T5">
        <v>52</v>
      </c>
      <c r="U5">
        <v>16</v>
      </c>
      <c r="V5">
        <v>103</v>
      </c>
      <c r="W5">
        <v>7365</v>
      </c>
      <c r="X5">
        <v>23.128346201359701</v>
      </c>
      <c r="Y5">
        <f>E5/60</f>
        <v>0</v>
      </c>
      <c r="Z5">
        <f>SQRT((B5-N5)^2+(C5-O5)^2+(D5-P5)^2)</f>
        <v>1.698673487261801</v>
      </c>
    </row>
    <row r="6" spans="1:26" x14ac:dyDescent="0.25">
      <c r="A6">
        <v>0</v>
      </c>
      <c r="B6">
        <v>3.3532050473027799</v>
      </c>
      <c r="C6">
        <v>3.3681990850685901</v>
      </c>
      <c r="D6">
        <v>2.2450561806735898</v>
      </c>
      <c r="E6">
        <v>3.8225789070129301</v>
      </c>
      <c r="F6">
        <v>1</v>
      </c>
      <c r="G6">
        <v>148.13333333333301</v>
      </c>
      <c r="H6">
        <v>143</v>
      </c>
      <c r="I6">
        <v>50</v>
      </c>
      <c r="J6">
        <v>270</v>
      </c>
      <c r="K6">
        <v>19998</v>
      </c>
      <c r="L6">
        <v>57.587286117580298</v>
      </c>
      <c r="M6">
        <v>1</v>
      </c>
      <c r="N6">
        <v>4.9877904646495397</v>
      </c>
      <c r="O6">
        <v>3.1346810346309901</v>
      </c>
      <c r="P6">
        <v>1.88744462969589</v>
      </c>
      <c r="Q6">
        <v>3.8225789070129301</v>
      </c>
      <c r="R6">
        <v>1</v>
      </c>
      <c r="S6">
        <v>35.0592592592592</v>
      </c>
      <c r="T6">
        <v>33</v>
      </c>
      <c r="U6">
        <v>11</v>
      </c>
      <c r="V6">
        <v>65</v>
      </c>
      <c r="W6">
        <v>4733</v>
      </c>
      <c r="X6">
        <v>14.2141210862008</v>
      </c>
      <c r="Y6">
        <f t="shared" ref="Y6:Y14" si="0">E6/60</f>
        <v>6.3709648450215497E-2</v>
      </c>
      <c r="Z6">
        <f t="shared" ref="Z6:Z14" si="1">SQRT((B6-N6)^2+(C6-O6)^2+(D6-P6)^2)</f>
        <v>1.6894632839678803</v>
      </c>
    </row>
    <row r="7" spans="1:26" x14ac:dyDescent="0.25">
      <c r="A7">
        <v>0</v>
      </c>
      <c r="B7">
        <v>3.3853062695665801</v>
      </c>
      <c r="C7">
        <v>3.21021627675968</v>
      </c>
      <c r="D7">
        <v>2.2729572382522898</v>
      </c>
      <c r="E7">
        <v>7.64515781402587</v>
      </c>
      <c r="F7">
        <v>2</v>
      </c>
      <c r="G7">
        <v>123.57037037037</v>
      </c>
      <c r="H7">
        <v>120</v>
      </c>
      <c r="I7">
        <v>41</v>
      </c>
      <c r="J7">
        <v>229</v>
      </c>
      <c r="K7">
        <v>16682</v>
      </c>
      <c r="L7">
        <v>50.112640396148898</v>
      </c>
      <c r="M7">
        <v>1</v>
      </c>
      <c r="N7">
        <v>5.0161799587614704</v>
      </c>
      <c r="O7">
        <v>3.2713558648713899</v>
      </c>
      <c r="P7">
        <v>1.92530111066725</v>
      </c>
      <c r="Q7">
        <v>7.64515781402587</v>
      </c>
      <c r="R7">
        <v>2</v>
      </c>
      <c r="S7">
        <v>19.540740740740699</v>
      </c>
      <c r="T7">
        <v>18</v>
      </c>
      <c r="U7">
        <v>5</v>
      </c>
      <c r="V7">
        <v>37</v>
      </c>
      <c r="W7">
        <v>2638</v>
      </c>
      <c r="X7">
        <v>8.1714491699306606</v>
      </c>
      <c r="Y7">
        <f t="shared" si="0"/>
        <v>0.12741929690043116</v>
      </c>
      <c r="Z7">
        <f t="shared" si="1"/>
        <v>1.66863771454143</v>
      </c>
    </row>
    <row r="8" spans="1:26" x14ac:dyDescent="0.25">
      <c r="A8">
        <v>0</v>
      </c>
      <c r="B8">
        <v>3.4185507630593102</v>
      </c>
      <c r="C8">
        <v>3.05906494800977</v>
      </c>
      <c r="D8">
        <v>2.3150174990727801</v>
      </c>
      <c r="E8">
        <v>11.467736721038801</v>
      </c>
      <c r="F8">
        <v>3</v>
      </c>
      <c r="G8">
        <v>93.044444444444395</v>
      </c>
      <c r="H8">
        <v>85</v>
      </c>
      <c r="I8">
        <v>34</v>
      </c>
      <c r="J8">
        <v>168</v>
      </c>
      <c r="K8">
        <v>12561</v>
      </c>
      <c r="L8">
        <v>35.832917965890601</v>
      </c>
      <c r="M8">
        <v>1</v>
      </c>
      <c r="N8">
        <v>5.05310435346352</v>
      </c>
      <c r="O8">
        <v>3.3557298103974098</v>
      </c>
      <c r="P8">
        <v>1.9643636757971801</v>
      </c>
      <c r="Q8">
        <v>11.467736721038801</v>
      </c>
      <c r="R8">
        <v>3</v>
      </c>
      <c r="S8">
        <v>25.488888888888798</v>
      </c>
      <c r="T8">
        <v>24</v>
      </c>
      <c r="U8">
        <v>8</v>
      </c>
      <c r="V8">
        <v>49</v>
      </c>
      <c r="W8">
        <v>3441</v>
      </c>
      <c r="X8">
        <v>10.500793620801501</v>
      </c>
      <c r="Y8">
        <f t="shared" si="0"/>
        <v>0.19112894535064667</v>
      </c>
      <c r="Z8">
        <f t="shared" si="1"/>
        <v>1.6978614738124447</v>
      </c>
    </row>
    <row r="9" spans="1:26" x14ac:dyDescent="0.25">
      <c r="A9">
        <v>0</v>
      </c>
      <c r="B9">
        <v>3.44686982583704</v>
      </c>
      <c r="C9">
        <v>3.07335104120025</v>
      </c>
      <c r="D9">
        <v>2.2929407584271</v>
      </c>
      <c r="E9">
        <v>15.290315628051699</v>
      </c>
      <c r="F9">
        <v>4</v>
      </c>
      <c r="G9">
        <v>66.022222222222197</v>
      </c>
      <c r="H9">
        <v>62</v>
      </c>
      <c r="I9">
        <v>26</v>
      </c>
      <c r="J9">
        <v>116</v>
      </c>
      <c r="K9">
        <v>8913</v>
      </c>
      <c r="L9">
        <v>23.4149673610153</v>
      </c>
      <c r="M9">
        <v>1</v>
      </c>
      <c r="N9">
        <v>5.0860637778500504</v>
      </c>
      <c r="O9">
        <v>3.3658463673986998</v>
      </c>
      <c r="P9">
        <v>1.9500229827906299</v>
      </c>
      <c r="Q9">
        <v>15.290315628051699</v>
      </c>
      <c r="R9">
        <v>4</v>
      </c>
      <c r="S9">
        <v>22.266666666666602</v>
      </c>
      <c r="T9">
        <v>22</v>
      </c>
      <c r="U9">
        <v>6</v>
      </c>
      <c r="V9">
        <v>40</v>
      </c>
      <c r="W9">
        <v>3006</v>
      </c>
      <c r="X9">
        <v>8.6500798029275394</v>
      </c>
      <c r="Y9">
        <f t="shared" si="0"/>
        <v>0.25483859380086166</v>
      </c>
      <c r="Z9">
        <f t="shared" si="1"/>
        <v>1.7000302729691119</v>
      </c>
    </row>
    <row r="10" spans="1:26" x14ac:dyDescent="0.25">
      <c r="A10">
        <v>0</v>
      </c>
      <c r="B10">
        <v>3.3040715366487801</v>
      </c>
      <c r="C10">
        <v>3.1142807715681902</v>
      </c>
      <c r="D10">
        <v>2.33643746291078</v>
      </c>
      <c r="E10">
        <v>19.112894535064601</v>
      </c>
      <c r="F10">
        <v>5</v>
      </c>
      <c r="G10">
        <v>78.281481481481407</v>
      </c>
      <c r="H10">
        <v>76</v>
      </c>
      <c r="I10">
        <v>23</v>
      </c>
      <c r="J10">
        <v>138</v>
      </c>
      <c r="K10">
        <v>10568</v>
      </c>
      <c r="L10">
        <v>31.285791885586601</v>
      </c>
      <c r="M10">
        <v>1</v>
      </c>
      <c r="N10">
        <v>4.9475463936484898</v>
      </c>
      <c r="O10">
        <v>3.2701219026714399</v>
      </c>
      <c r="P10">
        <v>1.8580971415612899</v>
      </c>
      <c r="Q10">
        <v>19.112894535064601</v>
      </c>
      <c r="R10">
        <v>5</v>
      </c>
      <c r="S10">
        <v>10.437037037036999</v>
      </c>
      <c r="T10">
        <v>10</v>
      </c>
      <c r="U10">
        <v>3</v>
      </c>
      <c r="V10">
        <v>20</v>
      </c>
      <c r="W10">
        <v>1409</v>
      </c>
      <c r="X10">
        <v>4.22785257831812</v>
      </c>
      <c r="Y10">
        <f t="shared" si="0"/>
        <v>0.3185482422510767</v>
      </c>
      <c r="Z10">
        <f t="shared" si="1"/>
        <v>1.7187511532396103</v>
      </c>
    </row>
    <row r="11" spans="1:26" x14ac:dyDescent="0.25">
      <c r="A11">
        <v>0</v>
      </c>
      <c r="B11">
        <v>3.4171813859426301</v>
      </c>
      <c r="C11">
        <v>3.19293756938099</v>
      </c>
      <c r="D11">
        <v>2.2172182613401099</v>
      </c>
      <c r="E11">
        <v>22.935473442077601</v>
      </c>
      <c r="F11">
        <v>6</v>
      </c>
      <c r="G11">
        <v>66.881481481481401</v>
      </c>
      <c r="H11">
        <v>61</v>
      </c>
      <c r="I11">
        <v>27</v>
      </c>
      <c r="J11">
        <v>116</v>
      </c>
      <c r="K11">
        <v>9029</v>
      </c>
      <c r="L11">
        <v>23.485801316124501</v>
      </c>
      <c r="M11">
        <v>1</v>
      </c>
      <c r="N11">
        <v>5.0464929567358299</v>
      </c>
      <c r="O11">
        <v>3.3054051959130901</v>
      </c>
      <c r="P11">
        <v>1.85934745393714</v>
      </c>
      <c r="Q11">
        <v>22.935473442077601</v>
      </c>
      <c r="R11">
        <v>6</v>
      </c>
      <c r="S11">
        <v>12.5851851851851</v>
      </c>
      <c r="T11">
        <v>12</v>
      </c>
      <c r="U11">
        <v>4</v>
      </c>
      <c r="V11">
        <v>23</v>
      </c>
      <c r="W11">
        <v>1699</v>
      </c>
      <c r="X11">
        <v>4.9781390534616197</v>
      </c>
      <c r="Y11">
        <f t="shared" si="0"/>
        <v>0.38225789070129335</v>
      </c>
      <c r="Z11">
        <f t="shared" si="1"/>
        <v>1.6719380002050381</v>
      </c>
    </row>
    <row r="12" spans="1:26" x14ac:dyDescent="0.25">
      <c r="A12">
        <v>0</v>
      </c>
      <c r="B12">
        <v>3.4579053691880901</v>
      </c>
      <c r="C12">
        <v>3.2884177038296598</v>
      </c>
      <c r="D12">
        <v>2.123273537088</v>
      </c>
      <c r="E12">
        <v>26.758052349090502</v>
      </c>
      <c r="F12">
        <v>7</v>
      </c>
      <c r="G12">
        <v>42.370370370370303</v>
      </c>
      <c r="H12">
        <v>40</v>
      </c>
      <c r="I12">
        <v>14</v>
      </c>
      <c r="J12">
        <v>74</v>
      </c>
      <c r="K12">
        <v>5720</v>
      </c>
      <c r="L12">
        <v>15.6007753063849</v>
      </c>
      <c r="M12">
        <v>1</v>
      </c>
      <c r="N12">
        <v>5.0771930410066197</v>
      </c>
      <c r="O12">
        <v>3.2346902227391299</v>
      </c>
      <c r="P12">
        <v>1.96607726532868</v>
      </c>
      <c r="Q12">
        <v>26.758052349090502</v>
      </c>
      <c r="R12">
        <v>7</v>
      </c>
      <c r="S12">
        <v>11.940740740740701</v>
      </c>
      <c r="T12">
        <v>11</v>
      </c>
      <c r="U12">
        <v>4</v>
      </c>
      <c r="V12">
        <v>23</v>
      </c>
      <c r="W12">
        <v>1612</v>
      </c>
      <c r="X12">
        <v>4.8894692856147</v>
      </c>
      <c r="Y12">
        <f t="shared" si="0"/>
        <v>0.44596753915150839</v>
      </c>
      <c r="Z12">
        <f t="shared" si="1"/>
        <v>1.6277868024353919</v>
      </c>
    </row>
    <row r="13" spans="1:26" x14ac:dyDescent="0.25">
      <c r="A13">
        <v>0</v>
      </c>
      <c r="B13">
        <v>3.6038184833639502</v>
      </c>
      <c r="C13">
        <v>3.02893294263276</v>
      </c>
      <c r="D13">
        <v>2.25177405305099</v>
      </c>
      <c r="E13">
        <v>45.870946884155202</v>
      </c>
      <c r="F13">
        <v>12</v>
      </c>
      <c r="G13">
        <v>26.703703703703699</v>
      </c>
      <c r="H13">
        <v>24</v>
      </c>
      <c r="I13">
        <v>9</v>
      </c>
      <c r="J13">
        <v>51</v>
      </c>
      <c r="K13">
        <v>3605</v>
      </c>
      <c r="L13">
        <v>11.0203841483509</v>
      </c>
      <c r="M13">
        <v>1</v>
      </c>
      <c r="N13">
        <v>5.1499929780507401</v>
      </c>
      <c r="O13">
        <v>3.3218899093638399</v>
      </c>
      <c r="P13">
        <v>1.91804405961846</v>
      </c>
      <c r="Q13">
        <v>45.870946884155202</v>
      </c>
      <c r="R13">
        <v>12</v>
      </c>
      <c r="S13">
        <v>5.17777777777777</v>
      </c>
      <c r="T13">
        <v>5</v>
      </c>
      <c r="U13">
        <v>2</v>
      </c>
      <c r="V13">
        <v>9</v>
      </c>
      <c r="W13">
        <v>699</v>
      </c>
      <c r="X13">
        <v>1.9234090796193499</v>
      </c>
      <c r="Y13">
        <f t="shared" si="0"/>
        <v>0.76451578140258669</v>
      </c>
      <c r="Z13">
        <f t="shared" si="1"/>
        <v>1.6086811557585616</v>
      </c>
    </row>
    <row r="14" spans="1:26" x14ac:dyDescent="0.25">
      <c r="A14">
        <v>0</v>
      </c>
      <c r="B14">
        <v>3.6269945879104699</v>
      </c>
      <c r="C14">
        <v>2.9519606126841902</v>
      </c>
      <c r="D14">
        <v>2.0490924822627798</v>
      </c>
      <c r="E14">
        <v>49.693525791168199</v>
      </c>
      <c r="F14">
        <v>13</v>
      </c>
      <c r="G14">
        <v>32.481481481481403</v>
      </c>
      <c r="H14">
        <v>31</v>
      </c>
      <c r="I14">
        <v>11</v>
      </c>
      <c r="J14">
        <v>60</v>
      </c>
      <c r="K14">
        <v>4385</v>
      </c>
      <c r="L14">
        <v>12.8410790520761</v>
      </c>
      <c r="M14">
        <v>1</v>
      </c>
      <c r="N14">
        <v>5.1394867946441698</v>
      </c>
      <c r="O14">
        <v>3.3295252612026398</v>
      </c>
      <c r="P14">
        <v>1.7853203046241899</v>
      </c>
      <c r="Q14">
        <v>49.693525791168199</v>
      </c>
      <c r="R14">
        <v>13</v>
      </c>
      <c r="S14">
        <v>9.7333333333333307</v>
      </c>
      <c r="T14">
        <v>9</v>
      </c>
      <c r="U14">
        <v>4</v>
      </c>
      <c r="V14">
        <v>18</v>
      </c>
      <c r="W14">
        <v>1314</v>
      </c>
      <c r="X14">
        <v>3.52856150132836</v>
      </c>
      <c r="Y14">
        <f t="shared" si="0"/>
        <v>0.82822542985280334</v>
      </c>
      <c r="Z14">
        <f t="shared" si="1"/>
        <v>1.5810640407451058</v>
      </c>
    </row>
    <row r="15" spans="1:26" x14ac:dyDescent="0.25">
      <c r="Z15">
        <f>AVERAGE(Z5:Z14)</f>
        <v>1.6662887384936376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231107_WT_3_Cell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2023-11-30T19:39:34Z</dcterms:created>
  <dcterms:modified xsi:type="dcterms:W3CDTF">2024-02-05T22:33:20Z</dcterms:modified>
</cp:coreProperties>
</file>