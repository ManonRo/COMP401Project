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Metaphase\"/>
    </mc:Choice>
  </mc:AlternateContent>
  <xr:revisionPtr revIDLastSave="0" documentId="13_ncr:1_{234E2D30-1663-4E58-94D4-13164FC425F3}" xr6:coauthVersionLast="45" xr6:coauthVersionMax="45" xr10:uidLastSave="{00000000-0000-0000-0000-000000000000}"/>
  <bookViews>
    <workbookView xWindow="-120" yWindow="960" windowWidth="27345" windowHeight="14145" xr2:uid="{00000000-000D-0000-FFFF-FFFF00000000}"/>
  </bookViews>
  <sheets>
    <sheet name="231107_WT_3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1" i="1"/>
  <c r="Z12" i="1"/>
  <c r="Z13" i="1"/>
  <c r="Z14" i="1"/>
  <c r="Z15" i="1"/>
  <c r="Z16" i="1"/>
  <c r="Z5" i="1"/>
  <c r="Y6" i="1"/>
  <c r="Y7" i="1"/>
  <c r="Y8" i="1"/>
  <c r="Y9" i="1"/>
  <c r="Y10" i="1"/>
  <c r="Y11" i="1"/>
  <c r="Y12" i="1"/>
  <c r="Y13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<sst xmlns="http://schemas.openxmlformats.org/spreadsheetml/2006/main" count="46" uniqueCount="33">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</sst>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'231107_WT_3_Cell 2_SPB'!$Y$5:$Y$16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6.3709648450215497E-2</c:v>
                </c:pt>
                <c:pt idx="2">
                  <c:v>0.12741929690043116</c:v>
                </c:pt>
                <c:pt idx="3">
                  <c:v>0.19112894535064667</c:v>
                </c:pt>
                <c:pt idx="4">
                  <c:v>0.25483859380086166</c:v>
                </c:pt>
                <c:pt idx="5">
                  <c:v>0.3185482422510767</c:v>
                </c:pt>
                <c:pt idx="6">
                  <c:v>0.38225789070129335</c:v>
                </c:pt>
                <c:pt idx="7">
                  <c:v>0.44596753915150839</c:v>
                </c:pt>
                <c:pt idx="8">
                  <c:v>0.50967718760172498</c:v>
                </c:pt>
                <c:pt idx="9">
                  <c:v>0.57338683605193996</c:v>
                </c:pt>
                <c:pt idx="10">
                  <c:v>0.63709648450215506</c:v>
                </c:pt>
                <c:pt idx="11">
                  <c:v>0.7008061329523716</c:v>
                </c:pt>
              </c:numCache>
            </c:numRef>
          </c:xVal>
          <c:yVal>
            <c:numRef>
              <c:f>'231107_WT_3_Cell 2_SPB'!$Z$5:$Z$16</c:f>
              <c:numCache>
                <c:formatCode>General</c:formatCode>
                <c:ptCount val="12"/>
                <c:pt idx="0">
                  <c:v>1.6122297787495343</c:v>
                </c:pt>
                <c:pt idx="1">
                  <c:v>1.5889377579623398</c:v>
                </c:pt>
                <c:pt idx="2">
                  <c:v>1.6217057620043807</c:v>
                </c:pt>
                <c:pt idx="3">
                  <c:v>1.6266825070881783</c:v>
                </c:pt>
                <c:pt idx="4">
                  <c:v>1.600307319000678</c:v>
                </c:pt>
                <c:pt idx="5">
                  <c:v>1.5771140335620302</c:v>
                </c:pt>
                <c:pt idx="6">
                  <c:v>1.547416509934779</c:v>
                </c:pt>
                <c:pt idx="7">
                  <c:v>1.5758680082034291</c:v>
                </c:pt>
                <c:pt idx="8">
                  <c:v>1.5616440572495796</c:v>
                </c:pt>
                <c:pt idx="9">
                  <c:v>1.6011304994902753</c:v>
                </c:pt>
                <c:pt idx="10">
                  <c:v>1.5643590543139421</c:v>
                </c:pt>
                <c:pt idx="11">
                  <c:v>1.6734234381808559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7-41DD-AB22-4DFFA79E9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1696"/>
        <c:axId val="587782024"/>
      </c:scatterChart>
      <c:valAx>
        <c:axId val="58778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2024"/>
        <c:crosses val="autoZero"/>
        <c:crossBetween val="midCat"/>
      </c:valAx>
      <c:valAx>
        <c:axId val="58778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12</xdr:row>
      <xdr:rowOff>47625</xdr:rowOff>
    </xdr:from>
    <xdr:to>
      <xdr:col>12</xdr:col>
      <xdr:colOff>381000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C496C-D579-40DA-8F66-974CBABC3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7" sqref="Z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3.01089581859096</v>
      </c>
      <c r="C5">
        <v>4.8646505461881597</v>
      </c>
      <c r="D5">
        <v>1.7435376571946499</v>
      </c>
      <c r="E5">
        <v>0</v>
      </c>
      <c r="F5">
        <v>0</v>
      </c>
      <c r="G5">
        <v>52.6666666666666</v>
      </c>
      <c r="H5">
        <v>52</v>
      </c>
      <c r="I5">
        <v>17</v>
      </c>
      <c r="J5">
        <v>95</v>
      </c>
      <c r="K5">
        <v>7110</v>
      </c>
      <c r="L5">
        <v>20.4428581113599</v>
      </c>
      <c r="M5">
        <v>2</v>
      </c>
      <c r="N5">
        <v>3.8417691347192502</v>
      </c>
      <c r="O5">
        <v>3.6935709031627701</v>
      </c>
      <c r="P5">
        <v>2.4766862517675898</v>
      </c>
      <c r="Q5">
        <v>0</v>
      </c>
      <c r="R5">
        <v>0</v>
      </c>
      <c r="S5">
        <v>279.29629629629602</v>
      </c>
      <c r="T5">
        <v>269</v>
      </c>
      <c r="U5">
        <v>92</v>
      </c>
      <c r="V5">
        <v>524</v>
      </c>
      <c r="W5">
        <v>37705</v>
      </c>
      <c r="X5">
        <v>113.746909032898</v>
      </c>
      <c r="Y5">
        <f>E5/60</f>
        <v>0</v>
      </c>
      <c r="Z5">
        <f>SQRT((B5-N5)^2+(C5-O5)^2+(D5-P5)^2)</f>
        <v>1.6122297787495343</v>
      </c>
    </row>
    <row r="6" spans="1:26" x14ac:dyDescent="0.25">
      <c r="A6">
        <v>1</v>
      </c>
      <c r="B6">
        <v>2.9874696390219402</v>
      </c>
      <c r="C6">
        <v>4.9555003761335596</v>
      </c>
      <c r="D6">
        <v>1.9061255871645599</v>
      </c>
      <c r="E6">
        <v>3.8225789070129301</v>
      </c>
      <c r="F6">
        <v>1</v>
      </c>
      <c r="G6">
        <v>45.525925925925897</v>
      </c>
      <c r="H6">
        <v>43</v>
      </c>
      <c r="I6">
        <v>12</v>
      </c>
      <c r="J6">
        <v>83</v>
      </c>
      <c r="K6">
        <v>6146</v>
      </c>
      <c r="L6">
        <v>18.1957964760396</v>
      </c>
      <c r="M6">
        <v>2</v>
      </c>
      <c r="N6">
        <v>3.8716463408027901</v>
      </c>
      <c r="O6">
        <v>3.7558643852421101</v>
      </c>
      <c r="P6">
        <v>2.4573317628050502</v>
      </c>
      <c r="Q6">
        <v>3.8225789070129301</v>
      </c>
      <c r="R6">
        <v>1</v>
      </c>
      <c r="S6">
        <v>184.41481481481401</v>
      </c>
      <c r="T6">
        <v>179</v>
      </c>
      <c r="U6">
        <v>62</v>
      </c>
      <c r="V6">
        <v>349</v>
      </c>
      <c r="W6">
        <v>24896</v>
      </c>
      <c r="X6">
        <v>76.140814675707105</v>
      </c>
      <c r="Y6">
        <f t="shared" ref="Y6:Y16" si="0">E6/60</f>
        <v>6.3709648450215497E-2</v>
      </c>
      <c r="Z6">
        <f t="shared" ref="Z6:Z16" si="1">SQRT((B6-N6)^2+(C6-O6)^2+(D6-P6)^2)</f>
        <v>1.5889377579623398</v>
      </c>
    </row>
    <row r="7" spans="1:26" x14ac:dyDescent="0.25">
      <c r="A7">
        <v>1</v>
      </c>
      <c r="B7">
        <v>3.1538058122848298</v>
      </c>
      <c r="C7">
        <v>4.98262503387022</v>
      </c>
      <c r="D7">
        <v>1.9985754207508699</v>
      </c>
      <c r="E7">
        <v>7.64515781402587</v>
      </c>
      <c r="F7">
        <v>2</v>
      </c>
      <c r="G7">
        <v>23.3629629629629</v>
      </c>
      <c r="H7">
        <v>21</v>
      </c>
      <c r="I7">
        <v>8</v>
      </c>
      <c r="J7">
        <v>43</v>
      </c>
      <c r="K7">
        <v>3154</v>
      </c>
      <c r="L7">
        <v>9.03278225877491</v>
      </c>
      <c r="M7">
        <v>2</v>
      </c>
      <c r="N7">
        <v>3.85859749296687</v>
      </c>
      <c r="O7">
        <v>3.5620032343008599</v>
      </c>
      <c r="P7">
        <v>2.3377390507997098</v>
      </c>
      <c r="Q7">
        <v>7.64515781402587</v>
      </c>
      <c r="R7">
        <v>2</v>
      </c>
      <c r="S7">
        <v>136.54074074074001</v>
      </c>
      <c r="T7">
        <v>127</v>
      </c>
      <c r="U7">
        <v>48</v>
      </c>
      <c r="V7">
        <v>252</v>
      </c>
      <c r="W7">
        <v>18433</v>
      </c>
      <c r="X7">
        <v>53.320036692410802</v>
      </c>
      <c r="Y7">
        <f t="shared" si="0"/>
        <v>0.12741929690043116</v>
      </c>
      <c r="Z7">
        <f t="shared" si="1"/>
        <v>1.6217057620043807</v>
      </c>
    </row>
    <row r="8" spans="1:26" x14ac:dyDescent="0.25">
      <c r="A8">
        <v>1</v>
      </c>
      <c r="B8">
        <v>3.2266329399912301</v>
      </c>
      <c r="C8">
        <v>4.9941512643176598</v>
      </c>
      <c r="D8">
        <v>1.8650161011892901</v>
      </c>
      <c r="E8">
        <v>11.467736721038801</v>
      </c>
      <c r="F8">
        <v>3</v>
      </c>
      <c r="G8">
        <v>21.177777777777699</v>
      </c>
      <c r="H8">
        <v>20</v>
      </c>
      <c r="I8">
        <v>7</v>
      </c>
      <c r="J8">
        <v>38</v>
      </c>
      <c r="K8">
        <v>2859</v>
      </c>
      <c r="L8">
        <v>8.0138561596314908</v>
      </c>
      <c r="M8">
        <v>2</v>
      </c>
      <c r="N8">
        <v>3.8199973624702501</v>
      </c>
      <c r="O8">
        <v>3.56013492629104</v>
      </c>
      <c r="P8">
        <v>2.3524704921588899</v>
      </c>
      <c r="Q8">
        <v>11.467736721038801</v>
      </c>
      <c r="R8">
        <v>3</v>
      </c>
      <c r="S8">
        <v>89.414814814814804</v>
      </c>
      <c r="T8">
        <v>84</v>
      </c>
      <c r="U8">
        <v>32</v>
      </c>
      <c r="V8">
        <v>161</v>
      </c>
      <c r="W8">
        <v>12071</v>
      </c>
      <c r="X8">
        <v>34.5293267491422</v>
      </c>
      <c r="Y8">
        <f t="shared" si="0"/>
        <v>0.19112894535064667</v>
      </c>
      <c r="Z8">
        <f t="shared" si="1"/>
        <v>1.6266825070881783</v>
      </c>
    </row>
    <row r="9" spans="1:26" x14ac:dyDescent="0.25">
      <c r="A9">
        <v>1</v>
      </c>
      <c r="B9">
        <v>3.1149715240661999</v>
      </c>
      <c r="C9">
        <v>4.8579293319675303</v>
      </c>
      <c r="D9">
        <v>2.0771189343723999</v>
      </c>
      <c r="E9">
        <v>15.290315628051699</v>
      </c>
      <c r="F9">
        <v>4</v>
      </c>
      <c r="G9">
        <v>18.600000000000001</v>
      </c>
      <c r="H9">
        <v>18</v>
      </c>
      <c r="I9">
        <v>5</v>
      </c>
      <c r="J9">
        <v>34</v>
      </c>
      <c r="K9">
        <v>2511</v>
      </c>
      <c r="L9">
        <v>7.5004477478288196</v>
      </c>
      <c r="M9">
        <v>2</v>
      </c>
      <c r="N9">
        <v>3.82583588606846</v>
      </c>
      <c r="O9">
        <v>3.43734161457244</v>
      </c>
      <c r="P9">
        <v>2.2709897967227399</v>
      </c>
      <c r="Q9">
        <v>15.290315628051699</v>
      </c>
      <c r="R9">
        <v>4</v>
      </c>
      <c r="S9">
        <v>54.525925925925897</v>
      </c>
      <c r="T9">
        <v>50</v>
      </c>
      <c r="U9">
        <v>19</v>
      </c>
      <c r="V9">
        <v>100</v>
      </c>
      <c r="W9">
        <v>7361</v>
      </c>
      <c r="X9">
        <v>21.301611469287899</v>
      </c>
      <c r="Y9">
        <f t="shared" si="0"/>
        <v>0.25483859380086166</v>
      </c>
      <c r="Z9">
        <f t="shared" si="1"/>
        <v>1.600307319000678</v>
      </c>
    </row>
    <row r="10" spans="1:26" x14ac:dyDescent="0.25">
      <c r="A10">
        <v>1</v>
      </c>
      <c r="B10">
        <v>3.1498626266771099</v>
      </c>
      <c r="C10">
        <v>4.9247485239243902</v>
      </c>
      <c r="D10">
        <v>2.1879442026297902</v>
      </c>
      <c r="E10">
        <v>19.112894535064601</v>
      </c>
      <c r="F10">
        <v>5</v>
      </c>
      <c r="G10">
        <v>17.562962962962899</v>
      </c>
      <c r="H10">
        <v>16</v>
      </c>
      <c r="I10">
        <v>5</v>
      </c>
      <c r="J10">
        <v>32</v>
      </c>
      <c r="K10">
        <v>2371</v>
      </c>
      <c r="L10">
        <v>6.9137624025070004</v>
      </c>
      <c r="M10">
        <v>2</v>
      </c>
      <c r="N10">
        <v>3.8246433998236302</v>
      </c>
      <c r="O10">
        <v>3.5006044580164599</v>
      </c>
      <c r="P10">
        <v>2.24937109079214</v>
      </c>
      <c r="Q10">
        <v>19.112894535064601</v>
      </c>
      <c r="R10">
        <v>5</v>
      </c>
      <c r="S10">
        <v>64.103703703703701</v>
      </c>
      <c r="T10">
        <v>58</v>
      </c>
      <c r="U10">
        <v>24</v>
      </c>
      <c r="V10">
        <v>117</v>
      </c>
      <c r="W10">
        <v>8654</v>
      </c>
      <c r="X10">
        <v>24.586513131618599</v>
      </c>
      <c r="Y10">
        <f t="shared" si="0"/>
        <v>0.3185482422510767</v>
      </c>
      <c r="Z10">
        <f t="shared" si="1"/>
        <v>1.5771140335620302</v>
      </c>
    </row>
    <row r="11" spans="1:26" x14ac:dyDescent="0.25">
      <c r="A11">
        <v>1</v>
      </c>
      <c r="B11">
        <v>3.1625646551789899</v>
      </c>
      <c r="C11">
        <v>4.8853253410968298</v>
      </c>
      <c r="D11">
        <v>2.0655415524039702</v>
      </c>
      <c r="E11">
        <v>22.935473442077601</v>
      </c>
      <c r="F11">
        <v>6</v>
      </c>
      <c r="G11">
        <v>14.1851851851851</v>
      </c>
      <c r="H11">
        <v>13</v>
      </c>
      <c r="I11">
        <v>5</v>
      </c>
      <c r="J11">
        <v>27</v>
      </c>
      <c r="K11">
        <v>1915</v>
      </c>
      <c r="L11">
        <v>5.5236063078893398</v>
      </c>
      <c r="M11">
        <v>2</v>
      </c>
      <c r="N11">
        <v>3.7721152290803999</v>
      </c>
      <c r="O11">
        <v>3.4676694491437701</v>
      </c>
      <c r="P11">
        <v>2.1804229046155799</v>
      </c>
      <c r="Q11">
        <v>22.935473442077601</v>
      </c>
      <c r="R11">
        <v>6</v>
      </c>
      <c r="S11">
        <v>51.837037037037</v>
      </c>
      <c r="T11">
        <v>51</v>
      </c>
      <c r="U11">
        <v>14</v>
      </c>
      <c r="V11">
        <v>95</v>
      </c>
      <c r="W11">
        <v>6998</v>
      </c>
      <c r="X11">
        <v>21.168551515039599</v>
      </c>
      <c r="Y11">
        <f t="shared" si="0"/>
        <v>0.38225789070129335</v>
      </c>
      <c r="Z11">
        <f t="shared" si="1"/>
        <v>1.547416509934779</v>
      </c>
    </row>
    <row r="12" spans="1:26" x14ac:dyDescent="0.25">
      <c r="A12">
        <v>1</v>
      </c>
      <c r="B12">
        <v>3.1425621364291101</v>
      </c>
      <c r="C12">
        <v>4.9843637194978703</v>
      </c>
      <c r="D12">
        <v>1.95055169479103</v>
      </c>
      <c r="E12">
        <v>26.758052349090502</v>
      </c>
      <c r="F12">
        <v>7</v>
      </c>
      <c r="G12">
        <v>8.5111111111111093</v>
      </c>
      <c r="H12">
        <v>8</v>
      </c>
      <c r="I12">
        <v>3</v>
      </c>
      <c r="J12">
        <v>15</v>
      </c>
      <c r="K12">
        <v>1149</v>
      </c>
      <c r="L12">
        <v>2.8543411992247898</v>
      </c>
      <c r="M12">
        <v>2</v>
      </c>
      <c r="N12">
        <v>3.7566662992630402</v>
      </c>
      <c r="O12">
        <v>3.5575310578784198</v>
      </c>
      <c r="P12">
        <v>2.2158526789675599</v>
      </c>
      <c r="Q12">
        <v>26.758052349090502</v>
      </c>
      <c r="R12">
        <v>7</v>
      </c>
      <c r="S12">
        <v>57.162962962962901</v>
      </c>
      <c r="T12">
        <v>53</v>
      </c>
      <c r="U12">
        <v>18</v>
      </c>
      <c r="V12">
        <v>108</v>
      </c>
      <c r="W12">
        <v>7717</v>
      </c>
      <c r="X12">
        <v>22.9497203206733</v>
      </c>
      <c r="Y12">
        <f t="shared" si="0"/>
        <v>0.44596753915150839</v>
      </c>
      <c r="Z12">
        <f t="shared" si="1"/>
        <v>1.5758680082034291</v>
      </c>
    </row>
    <row r="13" spans="1:26" x14ac:dyDescent="0.25">
      <c r="A13">
        <v>1</v>
      </c>
      <c r="B13">
        <v>3.20810412005561</v>
      </c>
      <c r="C13">
        <v>4.98356277560233</v>
      </c>
      <c r="D13">
        <v>2.1216204839067498</v>
      </c>
      <c r="E13">
        <v>30.580631256103501</v>
      </c>
      <c r="F13">
        <v>8</v>
      </c>
      <c r="G13">
        <v>12.2222222222222</v>
      </c>
      <c r="H13">
        <v>12</v>
      </c>
      <c r="I13">
        <v>4</v>
      </c>
      <c r="J13">
        <v>22</v>
      </c>
      <c r="K13">
        <v>1650</v>
      </c>
      <c r="L13">
        <v>4.5312623305716597</v>
      </c>
      <c r="M13">
        <v>2</v>
      </c>
      <c r="N13">
        <v>3.77987452774626</v>
      </c>
      <c r="O13">
        <v>3.5304263482832701</v>
      </c>
      <c r="P13">
        <v>2.1072926777036098</v>
      </c>
      <c r="Q13">
        <v>30.580631256103501</v>
      </c>
      <c r="R13">
        <v>8</v>
      </c>
      <c r="S13">
        <v>41.407407407407398</v>
      </c>
      <c r="T13">
        <v>39</v>
      </c>
      <c r="U13">
        <v>13</v>
      </c>
      <c r="V13">
        <v>74</v>
      </c>
      <c r="W13">
        <v>5590</v>
      </c>
      <c r="X13">
        <v>15.1914627911786</v>
      </c>
      <c r="Y13">
        <f t="shared" si="0"/>
        <v>0.50967718760172498</v>
      </c>
      <c r="Z13">
        <f t="shared" si="1"/>
        <v>1.5616440572495796</v>
      </c>
    </row>
    <row r="14" spans="1:26" x14ac:dyDescent="0.25">
      <c r="A14">
        <v>1</v>
      </c>
      <c r="B14">
        <v>3.16697197448662</v>
      </c>
      <c r="C14">
        <v>4.99560969510273</v>
      </c>
      <c r="D14">
        <v>1.7940660006691</v>
      </c>
      <c r="E14">
        <v>34.403210163116398</v>
      </c>
      <c r="F14">
        <v>9</v>
      </c>
      <c r="G14">
        <v>18.259259259259199</v>
      </c>
      <c r="H14">
        <v>18</v>
      </c>
      <c r="I14">
        <v>8</v>
      </c>
      <c r="J14">
        <v>30</v>
      </c>
      <c r="K14">
        <v>2465</v>
      </c>
      <c r="L14">
        <v>5.5583243514985803</v>
      </c>
      <c r="M14">
        <v>2</v>
      </c>
      <c r="N14">
        <v>3.8214937058618399</v>
      </c>
      <c r="O14">
        <v>3.5776430867634099</v>
      </c>
      <c r="P14">
        <v>2.1470403300335001</v>
      </c>
      <c r="Q14">
        <v>34.403210163116398</v>
      </c>
      <c r="R14">
        <v>9</v>
      </c>
      <c r="S14">
        <v>57.6148148148148</v>
      </c>
      <c r="T14">
        <v>57</v>
      </c>
      <c r="U14">
        <v>24</v>
      </c>
      <c r="V14">
        <v>93</v>
      </c>
      <c r="W14">
        <v>7778</v>
      </c>
      <c r="X14">
        <v>16.9247611527427</v>
      </c>
      <c r="Y14">
        <f t="shared" si="0"/>
        <v>0.57338683605193996</v>
      </c>
      <c r="Z14">
        <f t="shared" si="1"/>
        <v>1.6011304994902753</v>
      </c>
    </row>
    <row r="15" spans="1:26" x14ac:dyDescent="0.25">
      <c r="A15">
        <v>1</v>
      </c>
      <c r="B15">
        <v>3.03127285614806</v>
      </c>
      <c r="C15">
        <v>4.8694886134710602</v>
      </c>
      <c r="D15">
        <v>1.6071305970429399</v>
      </c>
      <c r="E15">
        <v>38.225789070129302</v>
      </c>
      <c r="F15">
        <v>10</v>
      </c>
      <c r="G15">
        <v>10.8962962962962</v>
      </c>
      <c r="H15">
        <v>11</v>
      </c>
      <c r="I15">
        <v>4</v>
      </c>
      <c r="J15">
        <v>17</v>
      </c>
      <c r="K15">
        <v>1471</v>
      </c>
      <c r="L15">
        <v>3.3059739551530498</v>
      </c>
      <c r="M15">
        <v>2</v>
      </c>
      <c r="N15">
        <v>3.77011757388374</v>
      </c>
      <c r="O15">
        <v>3.5556596291051599</v>
      </c>
      <c r="P15">
        <v>2.0256770505318702</v>
      </c>
      <c r="Q15">
        <v>38.225789070129302</v>
      </c>
      <c r="R15">
        <v>10</v>
      </c>
      <c r="S15">
        <v>45.807407407407403</v>
      </c>
      <c r="T15">
        <v>45</v>
      </c>
      <c r="U15">
        <v>16</v>
      </c>
      <c r="V15">
        <v>75</v>
      </c>
      <c r="W15">
        <v>6184</v>
      </c>
      <c r="X15">
        <v>15.3216734093937</v>
      </c>
      <c r="Y15">
        <f t="shared" si="0"/>
        <v>0.63709648450215506</v>
      </c>
      <c r="Z15">
        <f t="shared" si="1"/>
        <v>1.5643590543139421</v>
      </c>
    </row>
    <row r="16" spans="1:26" x14ac:dyDescent="0.25">
      <c r="A16">
        <v>1</v>
      </c>
      <c r="B16">
        <v>2.9819478111256901</v>
      </c>
      <c r="C16">
        <v>5.0523737562018098</v>
      </c>
      <c r="D16">
        <v>1.62400727680061</v>
      </c>
      <c r="E16">
        <v>42.048367977142298</v>
      </c>
      <c r="F16">
        <v>11</v>
      </c>
      <c r="G16">
        <v>6.7925925925925901</v>
      </c>
      <c r="H16">
        <v>7</v>
      </c>
      <c r="I16">
        <v>3</v>
      </c>
      <c r="J16">
        <v>10</v>
      </c>
      <c r="K16">
        <v>917</v>
      </c>
      <c r="L16">
        <v>1.8652209516441101</v>
      </c>
      <c r="M16">
        <v>2</v>
      </c>
      <c r="N16">
        <v>3.7305866495289099</v>
      </c>
      <c r="O16">
        <v>3.62513118695703</v>
      </c>
      <c r="P16">
        <v>2.0744121409205198</v>
      </c>
      <c r="Q16">
        <v>42.048367977142298</v>
      </c>
      <c r="R16">
        <v>11</v>
      </c>
      <c r="S16">
        <v>80.007407407407399</v>
      </c>
      <c r="T16">
        <v>75</v>
      </c>
      <c r="U16">
        <v>33</v>
      </c>
      <c r="V16">
        <v>135</v>
      </c>
      <c r="W16">
        <v>10801</v>
      </c>
      <c r="X16">
        <v>25.750958914559799</v>
      </c>
      <c r="Y16">
        <f t="shared" si="0"/>
        <v>0.7008061329523716</v>
      </c>
      <c r="Z16">
        <f t="shared" si="1"/>
        <v>1.6734234381808559</v>
      </c>
    </row>
    <row r="17" spans="13:26" x14ac:dyDescent="0.25">
      <c r="M17">
        <v>2</v>
      </c>
      <c r="N17">
        <v>3.7122463093090099</v>
      </c>
      <c r="O17">
        <v>3.53941652092495</v>
      </c>
      <c r="P17">
        <v>2.1011011667850101</v>
      </c>
      <c r="Q17">
        <v>45.870946884155202</v>
      </c>
      <c r="R17">
        <v>12</v>
      </c>
      <c r="S17">
        <v>28.6444444444444</v>
      </c>
      <c r="T17">
        <v>29</v>
      </c>
      <c r="U17">
        <v>9</v>
      </c>
      <c r="V17">
        <v>53</v>
      </c>
      <c r="W17">
        <v>3867</v>
      </c>
      <c r="X17">
        <v>11.3449749982731</v>
      </c>
      <c r="Z17">
        <f>AVERAGE(Z5:Z16)</f>
        <v>1.5959015604783333</v>
      </c>
    </row>
    <row r="18" spans="13:26" x14ac:dyDescent="0.25">
      <c r="M18">
        <v>2</v>
      </c>
      <c r="N18">
        <v>3.6894416059033199</v>
      </c>
      <c r="O18">
        <v>3.5681295214575601</v>
      </c>
      <c r="P18">
        <v>2.09747488270862</v>
      </c>
      <c r="Q18">
        <v>49.693525791168199</v>
      </c>
      <c r="R18">
        <v>13</v>
      </c>
      <c r="S18">
        <v>29.837037037037</v>
      </c>
      <c r="T18">
        <v>28</v>
      </c>
      <c r="U18">
        <v>11</v>
      </c>
      <c r="V18">
        <v>55</v>
      </c>
      <c r="W18">
        <v>4028</v>
      </c>
      <c r="X18">
        <v>11.672270627564099</v>
      </c>
    </row>
    <row r="19" spans="13:26" x14ac:dyDescent="0.25">
      <c r="M19">
        <v>2</v>
      </c>
      <c r="N19">
        <v>3.7492111396355199</v>
      </c>
      <c r="O19">
        <v>3.5488703208119499</v>
      </c>
      <c r="P19">
        <v>2.05079134561886</v>
      </c>
      <c r="Q19">
        <v>53.516104698181103</v>
      </c>
      <c r="R19">
        <v>14</v>
      </c>
      <c r="S19">
        <v>28.192592592592501</v>
      </c>
      <c r="T19">
        <v>27</v>
      </c>
      <c r="U19">
        <v>10</v>
      </c>
      <c r="V19">
        <v>53</v>
      </c>
      <c r="W19">
        <v>3806</v>
      </c>
      <c r="X19">
        <v>11.449758060597301</v>
      </c>
    </row>
    <row r="20" spans="13:26" x14ac:dyDescent="0.25">
      <c r="M20">
        <v>2</v>
      </c>
      <c r="N20">
        <v>3.76497421846349</v>
      </c>
      <c r="O20">
        <v>3.5165959734148999</v>
      </c>
      <c r="P20">
        <v>2.1070334187744302</v>
      </c>
      <c r="Q20">
        <v>57.338683605193999</v>
      </c>
      <c r="R20">
        <v>15</v>
      </c>
      <c r="S20">
        <v>24.570370370370298</v>
      </c>
      <c r="T20">
        <v>23</v>
      </c>
      <c r="U20">
        <v>7</v>
      </c>
      <c r="V20">
        <v>44</v>
      </c>
      <c r="W20">
        <v>3317</v>
      </c>
      <c r="X20">
        <v>9.4581093222353001</v>
      </c>
    </row>
    <row r="21" spans="13:26" x14ac:dyDescent="0.25">
      <c r="M21">
        <v>2</v>
      </c>
      <c r="N21">
        <v>3.7198574735069401</v>
      </c>
      <c r="O21">
        <v>3.5345889959635501</v>
      </c>
      <c r="P21">
        <v>2.0161642214470201</v>
      </c>
      <c r="Q21">
        <v>61.161262512207003</v>
      </c>
      <c r="R21">
        <v>16</v>
      </c>
      <c r="S21">
        <v>23.474074074074</v>
      </c>
      <c r="T21">
        <v>22</v>
      </c>
      <c r="U21">
        <v>8</v>
      </c>
      <c r="V21">
        <v>42</v>
      </c>
      <c r="W21">
        <v>3169</v>
      </c>
      <c r="X21">
        <v>8.8838522214734894</v>
      </c>
    </row>
    <row r="22" spans="13:26" x14ac:dyDescent="0.25">
      <c r="M22">
        <v>2</v>
      </c>
      <c r="N22">
        <v>3.7272325812763301</v>
      </c>
      <c r="O22">
        <v>3.5278802573974799</v>
      </c>
      <c r="P22">
        <v>2.12450516671678</v>
      </c>
      <c r="Q22">
        <v>64.9838414192199</v>
      </c>
      <c r="R22">
        <v>17</v>
      </c>
      <c r="S22">
        <v>25.2814814814814</v>
      </c>
      <c r="T22">
        <v>23</v>
      </c>
      <c r="U22">
        <v>8</v>
      </c>
      <c r="V22">
        <v>47</v>
      </c>
      <c r="W22">
        <v>3413</v>
      </c>
      <c r="X22">
        <v>9.7862619606245804</v>
      </c>
    </row>
    <row r="23" spans="13:26" x14ac:dyDescent="0.25">
      <c r="M23">
        <v>2</v>
      </c>
      <c r="N23">
        <v>3.6722874042140101</v>
      </c>
      <c r="O23">
        <v>3.4969818673373401</v>
      </c>
      <c r="P23">
        <v>2.02091279873185</v>
      </c>
      <c r="Q23">
        <v>68.806420326232896</v>
      </c>
      <c r="R23">
        <v>18</v>
      </c>
      <c r="S23">
        <v>21.851851851851801</v>
      </c>
      <c r="T23">
        <v>21</v>
      </c>
      <c r="U23">
        <v>7</v>
      </c>
      <c r="V23">
        <v>40</v>
      </c>
      <c r="W23">
        <v>2950</v>
      </c>
      <c r="X23">
        <v>8.4398826816123904</v>
      </c>
    </row>
    <row r="24" spans="13:26" x14ac:dyDescent="0.25">
      <c r="M24">
        <v>2</v>
      </c>
      <c r="N24">
        <v>3.6237547197648401</v>
      </c>
      <c r="O24">
        <v>3.5276854367193602</v>
      </c>
      <c r="P24">
        <v>2.0367376749562398</v>
      </c>
      <c r="Q24">
        <v>72.628999233245807</v>
      </c>
      <c r="R24">
        <v>19</v>
      </c>
      <c r="S24">
        <v>22.266666666666602</v>
      </c>
      <c r="T24">
        <v>21</v>
      </c>
      <c r="U24">
        <v>7</v>
      </c>
      <c r="V24">
        <v>41</v>
      </c>
      <c r="W24">
        <v>3006</v>
      </c>
      <c r="X24">
        <v>8.7946727430141696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231107_WT_3_Cell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2023-11-30T21:03:09Z</dcterms:created>
  <dcterms:modified xsi:type="dcterms:W3CDTF">2024-02-05T22:33:50Z</dcterms:modified>
</cp:coreProperties>
</file>