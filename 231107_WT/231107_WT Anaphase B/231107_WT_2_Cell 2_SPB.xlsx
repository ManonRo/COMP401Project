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1minute_3second updated\WT Anaphase B\"/>
    </mc:Choice>
  </mc:AlternateContent>
  <xr:revisionPtr revIDLastSave="0" documentId="13_ncr:1_{D1C66942-B15F-4A45-B664-556C4ADDA002}" xr6:coauthVersionLast="45" xr6:coauthVersionMax="45" xr10:uidLastSave="{00000000-0000-0000-0000-000000000000}"/>
  <bookViews>
    <workbookView xWindow="495" yWindow="0" windowWidth="27345" windowHeight="14145" xr2:uid="{00000000-000D-0000-FFFF-FFFF00000000}"/>
  </bookViews>
  <sheets>
    <sheet name="231107_WT_2_Cell 2_SP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Z23" i="1" l="1"/>
  <c r="Z6" i="1" l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5" i="1"/>
</calcChain>
</file>

<file path=xl/sharedStrings.xml><?xml version="1.0" encoding="utf-8"?>
<sst xmlns="http://schemas.openxmlformats.org/spreadsheetml/2006/main" count="46" uniqueCount="33">
  <si>
    <t>TRACK_ID</t>
  </si>
  <si>
    <t>POSITION_X</t>
  </si>
  <si>
    <t>POSITION_Y</t>
  </si>
  <si>
    <t>POSITION_Z</t>
  </si>
  <si>
    <t>POSITION_T</t>
  </si>
  <si>
    <t>FRAME</t>
  </si>
  <si>
    <t>MEAN_INTENSITY_CH1</t>
  </si>
  <si>
    <t>MEDIAN_INTENSITY_CH1</t>
  </si>
  <si>
    <t>MIN_INTENSITY_CH1</t>
  </si>
  <si>
    <t>MAX_INTENSITY_CH1</t>
  </si>
  <si>
    <t>TOTAL_INTENSITY_CH1</t>
  </si>
  <si>
    <t>STD_INTENSITY_CH1</t>
  </si>
  <si>
    <t>Track ID</t>
  </si>
  <si>
    <t>X</t>
  </si>
  <si>
    <t>Y</t>
  </si>
  <si>
    <t>Z</t>
  </si>
  <si>
    <t>T</t>
  </si>
  <si>
    <t>Frame</t>
  </si>
  <si>
    <t>Mean intensity ch1</t>
  </si>
  <si>
    <t>Median intensity ch1</t>
  </si>
  <si>
    <t>Min intensity ch1</t>
  </si>
  <si>
    <t>Max intensity ch1</t>
  </si>
  <si>
    <t>Sum intensity ch1</t>
  </si>
  <si>
    <t>Std intensity ch1</t>
  </si>
  <si>
    <t>Mean ch1</t>
  </si>
  <si>
    <t>Median ch1</t>
  </si>
  <si>
    <t>Min ch1</t>
  </si>
  <si>
    <t>Max ch1</t>
  </si>
  <si>
    <t>Sum ch1</t>
  </si>
  <si>
    <t>Std ch1</t>
  </si>
  <si>
    <t>(micron)</t>
  </si>
  <si>
    <t>(sec)</t>
  </si>
  <si>
    <t>(counts)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</si>
</sst>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'231107_WT_2_Cell 2_SPB'!$Y$5:$Y$22</c:f>
              <c:numCache>
                <c:formatCode>General</c:formatCode>
                <c:ptCount val="18"/>
                <c:pt idx="0">
                  <c:v>0</c:v>
                </c:pt>
                <c:pt idx="1">
                  <c:v>6.3695776462554837E-2</c:v>
                </c:pt>
                <c:pt idx="2">
                  <c:v>0.12739155292510984</c:v>
                </c:pt>
                <c:pt idx="3">
                  <c:v>0.19108732938766335</c:v>
                </c:pt>
                <c:pt idx="4">
                  <c:v>0.25478310585021835</c:v>
                </c:pt>
                <c:pt idx="5">
                  <c:v>0.31847888231277338</c:v>
                </c:pt>
                <c:pt idx="6">
                  <c:v>0.38217465877532836</c:v>
                </c:pt>
                <c:pt idx="7">
                  <c:v>0.44587043523788333</c:v>
                </c:pt>
                <c:pt idx="8">
                  <c:v>0.50956621170043837</c:v>
                </c:pt>
                <c:pt idx="9">
                  <c:v>0.57326198816299334</c:v>
                </c:pt>
                <c:pt idx="10">
                  <c:v>0.63695776462554832</c:v>
                </c:pt>
                <c:pt idx="11">
                  <c:v>0.70065354108810329</c:v>
                </c:pt>
                <c:pt idx="12">
                  <c:v>0.76434931755065838</c:v>
                </c:pt>
                <c:pt idx="13">
                  <c:v>0.82804509401321325</c:v>
                </c:pt>
                <c:pt idx="14">
                  <c:v>0.89174087047576833</c:v>
                </c:pt>
                <c:pt idx="15">
                  <c:v>0.95543664693832342</c:v>
                </c:pt>
                <c:pt idx="16">
                  <c:v>1.0191324234008783</c:v>
                </c:pt>
                <c:pt idx="17">
                  <c:v>1.0828281998634333</c:v>
                </c:pt>
              </c:numCache>
            </c:numRef>
          </c:xVal>
          <c:yVal>
            <c:numRef>
              <c:f>'231107_WT_2_Cell 2_SPB'!$Z$5:$Z$22</c:f>
              <c:numCache>
                <c:formatCode>General</c:formatCode>
                <c:ptCount val="18"/>
                <c:pt idx="0">
                  <c:v>4.3396637862269625</c:v>
                </c:pt>
                <c:pt idx="1">
                  <c:v>4.2968789966170453</c:v>
                </c:pt>
                <c:pt idx="2">
                  <c:v>4.2277848153911721</c:v>
                </c:pt>
                <c:pt idx="3">
                  <c:v>4.2884349332823675</c:v>
                </c:pt>
                <c:pt idx="4">
                  <c:v>4.2027157742008647</c:v>
                </c:pt>
                <c:pt idx="5">
                  <c:v>4.2123788844783414</c:v>
                </c:pt>
                <c:pt idx="6">
                  <c:v>4.2866763583489051</c:v>
                </c:pt>
                <c:pt idx="7">
                  <c:v>4.2865960431270773</c:v>
                </c:pt>
                <c:pt idx="8">
                  <c:v>4.195416020343572</c:v>
                </c:pt>
                <c:pt idx="9">
                  <c:v>4.2379405814626701</c:v>
                </c:pt>
                <c:pt idx="10">
                  <c:v>4.1652031369114653</c:v>
                </c:pt>
                <c:pt idx="11">
                  <c:v>4.1982375678140551</c:v>
                </c:pt>
                <c:pt idx="12">
                  <c:v>4.2415209331747779</c:v>
                </c:pt>
                <c:pt idx="13">
                  <c:v>4.2353620574645001</c:v>
                </c:pt>
                <c:pt idx="14">
                  <c:v>4.189501698967077</c:v>
                </c:pt>
                <c:pt idx="15">
                  <c:v>4.2422677219793572</c:v>
                </c:pt>
                <c:pt idx="16">
                  <c:v>4.1692915146437111</c:v>
                </c:pt>
                <c:pt idx="17">
                  <c:v>4.1406799677134751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D2-4C24-988A-39A6A5A5B6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2283072"/>
        <c:axId val="332283400"/>
      </c:scatterChart>
      <c:valAx>
        <c:axId val="332283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2283400"/>
        <c:crosses val="autoZero"/>
        <c:crossBetween val="midCat"/>
      </c:valAx>
      <c:valAx>
        <c:axId val="332283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2283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152400</xdr:colOff>
      <xdr:row>15</xdr:row>
      <xdr:rowOff>171450</xdr:rowOff>
    </xdr:from>
    <xdr:to>
      <xdr:col>17</xdr:col>
      <xdr:colOff>457200</xdr:colOff>
      <xdr:row>30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B7C3FDD-CA9E-4554-A388-E92CEF6BFC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3"/>
  <sheetViews>
    <sheetView tabSelected="1" topLeftCell="D1" workbookViewId="0">
      <selection activeCell="Z23" sqref="Z23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26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2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</row>
    <row r="4" spans="1:26" x14ac:dyDescent="0.25">
      <c r="B4" t="s">
        <v>30</v>
      </c>
      <c r="C4" t="s">
        <v>30</v>
      </c>
      <c r="D4" t="s">
        <v>30</v>
      </c>
      <c r="E4" t="s">
        <v>31</v>
      </c>
      <c r="G4" t="s">
        <v>32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</row>
    <row r="5" spans="1:26" x14ac:dyDescent="0.25">
      <c r="A5">
        <v>1</v>
      </c>
      <c r="B5">
        <v>4.9488264550760102</v>
      </c>
      <c r="C5">
        <v>5.6955921213502503</v>
      </c>
      <c r="D5">
        <v>2.6949677014645599</v>
      </c>
      <c r="E5">
        <v>0</v>
      </c>
      <c r="F5">
        <v>0</v>
      </c>
      <c r="G5">
        <v>222.8</v>
      </c>
      <c r="H5">
        <v>199</v>
      </c>
      <c r="I5">
        <v>84</v>
      </c>
      <c r="J5">
        <v>403</v>
      </c>
      <c r="K5">
        <v>30078</v>
      </c>
      <c r="L5">
        <v>85.797992531224494</v>
      </c>
      <c r="M5">
        <v>3</v>
      </c>
      <c r="N5">
        <v>5.5591272909458</v>
      </c>
      <c r="O5">
        <v>1.7418497653464899</v>
      </c>
      <c r="P5">
        <v>1.0132614103518101</v>
      </c>
      <c r="Q5">
        <v>0</v>
      </c>
      <c r="R5">
        <v>0</v>
      </c>
      <c r="S5">
        <v>80.022222222222197</v>
      </c>
      <c r="T5">
        <v>77</v>
      </c>
      <c r="U5">
        <v>22</v>
      </c>
      <c r="V5">
        <v>146</v>
      </c>
      <c r="W5">
        <v>10803</v>
      </c>
      <c r="X5">
        <v>31.850974508080999</v>
      </c>
      <c r="Y5">
        <f>E5/60</f>
        <v>0</v>
      </c>
      <c r="Z5">
        <f>SQRT((B5-N5)^2+(C5-O5)^2+(D5-P5)^2)</f>
        <v>4.3396637862269625</v>
      </c>
    </row>
    <row r="6" spans="1:26" x14ac:dyDescent="0.25">
      <c r="A6">
        <v>1</v>
      </c>
      <c r="B6">
        <v>4.8012126873920096</v>
      </c>
      <c r="C6">
        <v>5.6282727357993201</v>
      </c>
      <c r="D6">
        <v>2.7839144667003501</v>
      </c>
      <c r="E6">
        <v>3.8217465877532901</v>
      </c>
      <c r="F6">
        <v>1</v>
      </c>
      <c r="G6">
        <v>148.71851851851801</v>
      </c>
      <c r="H6">
        <v>146</v>
      </c>
      <c r="I6">
        <v>45</v>
      </c>
      <c r="J6">
        <v>265</v>
      </c>
      <c r="K6">
        <v>20077</v>
      </c>
      <c r="L6">
        <v>57.993392810984297</v>
      </c>
      <c r="M6">
        <v>3</v>
      </c>
      <c r="N6">
        <v>5.6118571788691503</v>
      </c>
      <c r="O6">
        <v>1.8163455422574999</v>
      </c>
      <c r="P6">
        <v>0.97415324180275098</v>
      </c>
      <c r="Q6">
        <v>3.8217465877532901</v>
      </c>
      <c r="R6">
        <v>1</v>
      </c>
      <c r="S6">
        <v>63.562962962962899</v>
      </c>
      <c r="T6">
        <v>59</v>
      </c>
      <c r="U6">
        <v>20</v>
      </c>
      <c r="V6">
        <v>118</v>
      </c>
      <c r="W6">
        <v>8581</v>
      </c>
      <c r="X6">
        <v>25.247907378161599</v>
      </c>
      <c r="Y6">
        <f t="shared" ref="Y6:Y22" si="0">E6/60</f>
        <v>6.3695776462554837E-2</v>
      </c>
      <c r="Z6">
        <f t="shared" ref="Z6:Z22" si="1">SQRT((B6-N6)^2+(C6-O6)^2+(D6-P6)^2)</f>
        <v>4.2968789966170453</v>
      </c>
    </row>
    <row r="7" spans="1:26" x14ac:dyDescent="0.25">
      <c r="A7">
        <v>1</v>
      </c>
      <c r="B7">
        <v>4.84102395537235</v>
      </c>
      <c r="C7">
        <v>5.5382926916818196</v>
      </c>
      <c r="D7">
        <v>2.86237446521619</v>
      </c>
      <c r="E7">
        <v>7.64349317550659</v>
      </c>
      <c r="F7">
        <v>2</v>
      </c>
      <c r="G7">
        <v>93.488888888888894</v>
      </c>
      <c r="H7">
        <v>92</v>
      </c>
      <c r="I7">
        <v>33</v>
      </c>
      <c r="J7">
        <v>168</v>
      </c>
      <c r="K7">
        <v>12621</v>
      </c>
      <c r="L7">
        <v>35.849991499960801</v>
      </c>
      <c r="M7">
        <v>3</v>
      </c>
      <c r="N7">
        <v>5.6184053829487501</v>
      </c>
      <c r="O7">
        <v>1.8063152050143201</v>
      </c>
      <c r="P7">
        <v>1.0342096476140199</v>
      </c>
      <c r="Q7">
        <v>7.64349317550659</v>
      </c>
      <c r="R7">
        <v>2</v>
      </c>
      <c r="S7">
        <v>51.548148148148101</v>
      </c>
      <c r="T7">
        <v>50</v>
      </c>
      <c r="U7">
        <v>17</v>
      </c>
      <c r="V7">
        <v>92</v>
      </c>
      <c r="W7">
        <v>6959</v>
      </c>
      <c r="X7">
        <v>19.725624867055501</v>
      </c>
      <c r="Y7">
        <f t="shared" si="0"/>
        <v>0.12739155292510984</v>
      </c>
      <c r="Z7">
        <f t="shared" si="1"/>
        <v>4.2277848153911721</v>
      </c>
    </row>
    <row r="8" spans="1:26" x14ac:dyDescent="0.25">
      <c r="A8">
        <v>1</v>
      </c>
      <c r="B8">
        <v>4.9497488857646799</v>
      </c>
      <c r="C8">
        <v>5.5479984937208702</v>
      </c>
      <c r="D8">
        <v>2.8375262831502601</v>
      </c>
      <c r="E8">
        <v>11.465239763259801</v>
      </c>
      <c r="F8">
        <v>3</v>
      </c>
      <c r="G8">
        <v>90.2</v>
      </c>
      <c r="H8">
        <v>83</v>
      </c>
      <c r="I8">
        <v>32</v>
      </c>
      <c r="J8">
        <v>165</v>
      </c>
      <c r="K8">
        <v>12177</v>
      </c>
      <c r="L8">
        <v>35.2675911436353</v>
      </c>
      <c r="M8">
        <v>3</v>
      </c>
      <c r="N8">
        <v>5.5447073260986803</v>
      </c>
      <c r="O8">
        <v>1.7256841957284099</v>
      </c>
      <c r="P8">
        <v>0.98641525497440197</v>
      </c>
      <c r="Q8">
        <v>11.465239763259801</v>
      </c>
      <c r="R8">
        <v>3</v>
      </c>
      <c r="S8">
        <v>30.037037037036999</v>
      </c>
      <c r="T8">
        <v>28</v>
      </c>
      <c r="U8">
        <v>11</v>
      </c>
      <c r="V8">
        <v>54</v>
      </c>
      <c r="W8">
        <v>4055</v>
      </c>
      <c r="X8">
        <v>10.9533661475048</v>
      </c>
      <c r="Y8">
        <f t="shared" si="0"/>
        <v>0.19108732938766335</v>
      </c>
      <c r="Z8">
        <f t="shared" si="1"/>
        <v>4.2884349332823675</v>
      </c>
    </row>
    <row r="9" spans="1:26" x14ac:dyDescent="0.25">
      <c r="A9">
        <v>1</v>
      </c>
      <c r="B9">
        <v>4.9298400373746603</v>
      </c>
      <c r="C9">
        <v>5.5548462115902204</v>
      </c>
      <c r="D9">
        <v>2.92388243536768</v>
      </c>
      <c r="E9">
        <v>15.2869863510131</v>
      </c>
      <c r="F9">
        <v>4</v>
      </c>
      <c r="G9">
        <v>68.607407407407393</v>
      </c>
      <c r="H9">
        <v>67</v>
      </c>
      <c r="I9">
        <v>20</v>
      </c>
      <c r="J9">
        <v>122</v>
      </c>
      <c r="K9">
        <v>9262</v>
      </c>
      <c r="L9">
        <v>27.209002103478699</v>
      </c>
      <c r="M9">
        <v>3</v>
      </c>
      <c r="N9">
        <v>5.65326234893781</v>
      </c>
      <c r="O9">
        <v>1.86805146909311</v>
      </c>
      <c r="P9">
        <v>1.04052783133129</v>
      </c>
      <c r="Q9">
        <v>15.2869863510131</v>
      </c>
      <c r="R9">
        <v>4</v>
      </c>
      <c r="S9">
        <v>32.674074074073999</v>
      </c>
      <c r="T9">
        <v>32</v>
      </c>
      <c r="U9">
        <v>11</v>
      </c>
      <c r="V9">
        <v>59</v>
      </c>
      <c r="W9">
        <v>4411</v>
      </c>
      <c r="X9">
        <v>12.698471896332</v>
      </c>
      <c r="Y9">
        <f t="shared" si="0"/>
        <v>0.25478310585021835</v>
      </c>
      <c r="Z9">
        <f t="shared" si="1"/>
        <v>4.2027157742008647</v>
      </c>
    </row>
    <row r="10" spans="1:26" x14ac:dyDescent="0.25">
      <c r="A10">
        <v>1</v>
      </c>
      <c r="B10">
        <v>4.90266558682002</v>
      </c>
      <c r="C10">
        <v>5.5290797084307899</v>
      </c>
      <c r="D10">
        <v>2.9085733569588301</v>
      </c>
      <c r="E10">
        <v>19.108732938766401</v>
      </c>
      <c r="F10">
        <v>5</v>
      </c>
      <c r="G10">
        <v>51.977777777777703</v>
      </c>
      <c r="H10">
        <v>51</v>
      </c>
      <c r="I10">
        <v>17</v>
      </c>
      <c r="J10">
        <v>91</v>
      </c>
      <c r="K10">
        <v>7017</v>
      </c>
      <c r="L10">
        <v>19.917541457505301</v>
      </c>
      <c r="M10">
        <v>3</v>
      </c>
      <c r="N10">
        <v>5.7088943041356801</v>
      </c>
      <c r="O10">
        <v>1.8472664122911799</v>
      </c>
      <c r="P10">
        <v>1.02751461940061</v>
      </c>
      <c r="Q10">
        <v>19.108732938766401</v>
      </c>
      <c r="R10">
        <v>5</v>
      </c>
      <c r="S10">
        <v>24.733333333333299</v>
      </c>
      <c r="T10">
        <v>24</v>
      </c>
      <c r="U10">
        <v>9</v>
      </c>
      <c r="V10">
        <v>43</v>
      </c>
      <c r="W10">
        <v>3339</v>
      </c>
      <c r="X10">
        <v>8.98107462904842</v>
      </c>
      <c r="Y10">
        <f t="shared" si="0"/>
        <v>0.31847888231277338</v>
      </c>
      <c r="Z10">
        <f t="shared" si="1"/>
        <v>4.2123788844783414</v>
      </c>
    </row>
    <row r="11" spans="1:26" x14ac:dyDescent="0.25">
      <c r="A11">
        <v>1</v>
      </c>
      <c r="B11">
        <v>4.77033230611229</v>
      </c>
      <c r="C11">
        <v>5.5138693371545102</v>
      </c>
      <c r="D11">
        <v>2.8942911260413502</v>
      </c>
      <c r="E11">
        <v>22.930479526519701</v>
      </c>
      <c r="F11">
        <v>6</v>
      </c>
      <c r="G11">
        <v>87.288888888888806</v>
      </c>
      <c r="H11">
        <v>86</v>
      </c>
      <c r="I11">
        <v>34</v>
      </c>
      <c r="J11">
        <v>146</v>
      </c>
      <c r="K11">
        <v>11784</v>
      </c>
      <c r="L11">
        <v>28.3701195202283</v>
      </c>
      <c r="M11">
        <v>3</v>
      </c>
      <c r="N11">
        <v>5.6302188639784303</v>
      </c>
      <c r="O11">
        <v>1.80880202123226</v>
      </c>
      <c r="P11">
        <v>0.91725660603082604</v>
      </c>
      <c r="Q11">
        <v>22.930479526519701</v>
      </c>
      <c r="R11">
        <v>6</v>
      </c>
      <c r="S11">
        <v>24.481481481481399</v>
      </c>
      <c r="T11">
        <v>23</v>
      </c>
      <c r="U11">
        <v>11</v>
      </c>
      <c r="V11">
        <v>40</v>
      </c>
      <c r="W11">
        <v>3305</v>
      </c>
      <c r="X11">
        <v>7.2902018192196101</v>
      </c>
      <c r="Y11">
        <f t="shared" si="0"/>
        <v>0.38217465877532836</v>
      </c>
      <c r="Z11">
        <f t="shared" si="1"/>
        <v>4.2866763583489051</v>
      </c>
    </row>
    <row r="12" spans="1:26" x14ac:dyDescent="0.25">
      <c r="A12">
        <v>1</v>
      </c>
      <c r="B12">
        <v>4.6798849913160501</v>
      </c>
      <c r="C12">
        <v>5.4894223113329801</v>
      </c>
      <c r="D12">
        <v>2.9389698397561901</v>
      </c>
      <c r="E12">
        <v>26.752226114273</v>
      </c>
      <c r="F12">
        <v>7</v>
      </c>
      <c r="G12">
        <v>74.422222222222203</v>
      </c>
      <c r="H12">
        <v>74</v>
      </c>
      <c r="I12">
        <v>26</v>
      </c>
      <c r="J12">
        <v>122</v>
      </c>
      <c r="K12">
        <v>10047</v>
      </c>
      <c r="L12">
        <v>24.7951206883581</v>
      </c>
      <c r="M12">
        <v>3</v>
      </c>
      <c r="N12">
        <v>5.7306337316001601</v>
      </c>
      <c r="O12">
        <v>1.8659652732510801</v>
      </c>
      <c r="P12">
        <v>0.90392885370239096</v>
      </c>
      <c r="Q12">
        <v>26.752226114273</v>
      </c>
      <c r="R12">
        <v>7</v>
      </c>
      <c r="S12">
        <v>17.1407407407407</v>
      </c>
      <c r="T12">
        <v>17</v>
      </c>
      <c r="U12">
        <v>7</v>
      </c>
      <c r="V12">
        <v>28</v>
      </c>
      <c r="W12">
        <v>2314</v>
      </c>
      <c r="X12">
        <v>5.06106437239605</v>
      </c>
      <c r="Y12">
        <f t="shared" si="0"/>
        <v>0.44587043523788333</v>
      </c>
      <c r="Z12">
        <f t="shared" si="1"/>
        <v>4.2865960431270773</v>
      </c>
    </row>
    <row r="13" spans="1:26" x14ac:dyDescent="0.25">
      <c r="A13">
        <v>1</v>
      </c>
      <c r="B13">
        <v>4.7226159597585804</v>
      </c>
      <c r="C13">
        <v>5.4949494996672499</v>
      </c>
      <c r="D13">
        <v>2.8723922952097398</v>
      </c>
      <c r="E13">
        <v>30.5739727020263</v>
      </c>
      <c r="F13">
        <v>8</v>
      </c>
      <c r="G13">
        <v>57.592592592592503</v>
      </c>
      <c r="H13">
        <v>57</v>
      </c>
      <c r="I13">
        <v>21</v>
      </c>
      <c r="J13">
        <v>95</v>
      </c>
      <c r="K13">
        <v>7775</v>
      </c>
      <c r="L13">
        <v>18.373933635946099</v>
      </c>
      <c r="M13">
        <v>3</v>
      </c>
      <c r="N13">
        <v>5.6921447655963897</v>
      </c>
      <c r="O13">
        <v>1.9139708824511801</v>
      </c>
      <c r="P13">
        <v>0.913279837629141</v>
      </c>
      <c r="Q13">
        <v>30.5739727020263</v>
      </c>
      <c r="R13">
        <v>8</v>
      </c>
      <c r="S13">
        <v>16.5037037037037</v>
      </c>
      <c r="T13">
        <v>16</v>
      </c>
      <c r="U13">
        <v>7</v>
      </c>
      <c r="V13">
        <v>26</v>
      </c>
      <c r="W13">
        <v>2228</v>
      </c>
      <c r="X13">
        <v>4.6374112600819997</v>
      </c>
      <c r="Y13">
        <f t="shared" si="0"/>
        <v>0.50956621170043837</v>
      </c>
      <c r="Z13">
        <f t="shared" si="1"/>
        <v>4.195416020343572</v>
      </c>
    </row>
    <row r="14" spans="1:26" x14ac:dyDescent="0.25">
      <c r="A14">
        <v>1</v>
      </c>
      <c r="B14">
        <v>4.7064474529552101</v>
      </c>
      <c r="C14">
        <v>5.4901330367284897</v>
      </c>
      <c r="D14">
        <v>2.8049474105624199</v>
      </c>
      <c r="E14">
        <v>34.395719289779599</v>
      </c>
      <c r="F14">
        <v>9</v>
      </c>
      <c r="G14">
        <v>40.799999999999997</v>
      </c>
      <c r="H14">
        <v>38</v>
      </c>
      <c r="I14">
        <v>11</v>
      </c>
      <c r="J14">
        <v>77</v>
      </c>
      <c r="K14">
        <v>5508</v>
      </c>
      <c r="L14">
        <v>17.145035398212801</v>
      </c>
      <c r="M14">
        <v>3</v>
      </c>
      <c r="N14">
        <v>5.6076942852947198</v>
      </c>
      <c r="O14">
        <v>1.7992212501841101</v>
      </c>
      <c r="P14">
        <v>0.92743184387490896</v>
      </c>
      <c r="Q14">
        <v>34.395719289779599</v>
      </c>
      <c r="R14">
        <v>9</v>
      </c>
      <c r="S14">
        <v>7.6814814814814802</v>
      </c>
      <c r="T14">
        <v>7</v>
      </c>
      <c r="U14">
        <v>2</v>
      </c>
      <c r="V14">
        <v>14</v>
      </c>
      <c r="W14">
        <v>1037</v>
      </c>
      <c r="X14">
        <v>2.8798109697807299</v>
      </c>
      <c r="Y14">
        <f t="shared" si="0"/>
        <v>0.57326198816299334</v>
      </c>
      <c r="Z14">
        <f t="shared" si="1"/>
        <v>4.2379405814626701</v>
      </c>
    </row>
    <row r="15" spans="1:26" x14ac:dyDescent="0.25">
      <c r="A15">
        <v>1</v>
      </c>
      <c r="B15">
        <v>4.7505200654227098</v>
      </c>
      <c r="C15">
        <v>5.5303016313719802</v>
      </c>
      <c r="D15">
        <v>2.6827378792366798</v>
      </c>
      <c r="E15">
        <v>38.217465877532902</v>
      </c>
      <c r="F15">
        <v>10</v>
      </c>
      <c r="G15">
        <v>36.977777777777703</v>
      </c>
      <c r="H15">
        <v>34</v>
      </c>
      <c r="I15">
        <v>11</v>
      </c>
      <c r="J15">
        <v>70</v>
      </c>
      <c r="K15">
        <v>4992</v>
      </c>
      <c r="L15">
        <v>15.6039923453719</v>
      </c>
      <c r="M15">
        <v>3</v>
      </c>
      <c r="N15">
        <v>5.6465201888699603</v>
      </c>
      <c r="O15">
        <v>1.79312851613289</v>
      </c>
      <c r="P15">
        <v>1.07661271062317</v>
      </c>
      <c r="Q15">
        <v>38.217465877532902</v>
      </c>
      <c r="R15">
        <v>10</v>
      </c>
      <c r="S15">
        <v>9.2148148148148099</v>
      </c>
      <c r="T15">
        <v>9</v>
      </c>
      <c r="U15">
        <v>3</v>
      </c>
      <c r="V15">
        <v>17</v>
      </c>
      <c r="W15">
        <v>1244</v>
      </c>
      <c r="X15">
        <v>3.6269825976916299</v>
      </c>
      <c r="Y15">
        <f t="shared" si="0"/>
        <v>0.63695776462554832</v>
      </c>
      <c r="Z15">
        <f t="shared" si="1"/>
        <v>4.1652031369114653</v>
      </c>
    </row>
    <row r="16" spans="1:26" x14ac:dyDescent="0.25">
      <c r="A16">
        <v>1</v>
      </c>
      <c r="B16">
        <v>4.6957998782852401</v>
      </c>
      <c r="C16">
        <v>5.5365782065172704</v>
      </c>
      <c r="D16">
        <v>2.6420783425397998</v>
      </c>
      <c r="E16">
        <v>42.039212465286198</v>
      </c>
      <c r="F16">
        <v>11</v>
      </c>
      <c r="G16">
        <v>39.681481481481399</v>
      </c>
      <c r="H16">
        <v>36</v>
      </c>
      <c r="I16">
        <v>15</v>
      </c>
      <c r="J16">
        <v>72</v>
      </c>
      <c r="K16">
        <v>5357</v>
      </c>
      <c r="L16">
        <v>15.227455492429</v>
      </c>
      <c r="M16">
        <v>3</v>
      </c>
      <c r="N16">
        <v>5.5113428852390198</v>
      </c>
      <c r="O16">
        <v>1.7566113765557501</v>
      </c>
      <c r="P16">
        <v>1.00747164855965</v>
      </c>
      <c r="Q16">
        <v>42.039212465286198</v>
      </c>
      <c r="R16">
        <v>11</v>
      </c>
      <c r="S16">
        <v>5.3703703703703702</v>
      </c>
      <c r="T16">
        <v>5</v>
      </c>
      <c r="U16">
        <v>2</v>
      </c>
      <c r="V16">
        <v>10</v>
      </c>
      <c r="W16">
        <v>725</v>
      </c>
      <c r="X16">
        <v>2.1639541637927802</v>
      </c>
      <c r="Y16">
        <f t="shared" si="0"/>
        <v>0.70065354108810329</v>
      </c>
      <c r="Z16">
        <f t="shared" si="1"/>
        <v>4.1982375678140551</v>
      </c>
    </row>
    <row r="17" spans="1:26" x14ac:dyDescent="0.25">
      <c r="A17">
        <v>1</v>
      </c>
      <c r="B17">
        <v>4.6241860614780004</v>
      </c>
      <c r="C17">
        <v>5.5386222832325096</v>
      </c>
      <c r="D17">
        <v>2.6836742406826799</v>
      </c>
      <c r="E17">
        <v>45.860959053039501</v>
      </c>
      <c r="F17">
        <v>12</v>
      </c>
      <c r="G17">
        <v>39.8888888888888</v>
      </c>
      <c r="H17">
        <v>39</v>
      </c>
      <c r="I17">
        <v>14</v>
      </c>
      <c r="J17">
        <v>71</v>
      </c>
      <c r="K17">
        <v>5385</v>
      </c>
      <c r="L17">
        <v>14.726697589430801</v>
      </c>
      <c r="M17">
        <v>3</v>
      </c>
      <c r="N17">
        <v>5.5617507596695699</v>
      </c>
      <c r="O17">
        <v>1.75164262286354</v>
      </c>
      <c r="P17">
        <v>1.0192652419036801</v>
      </c>
      <c r="Q17">
        <v>45.860959053039501</v>
      </c>
      <c r="R17">
        <v>12</v>
      </c>
      <c r="S17">
        <v>8.7037037037037006</v>
      </c>
      <c r="T17">
        <v>8</v>
      </c>
      <c r="U17">
        <v>3</v>
      </c>
      <c r="V17">
        <v>15</v>
      </c>
      <c r="W17">
        <v>1175</v>
      </c>
      <c r="X17">
        <v>3.0763277052939699</v>
      </c>
      <c r="Y17">
        <f t="shared" si="0"/>
        <v>0.76434931755065838</v>
      </c>
      <c r="Z17">
        <f t="shared" si="1"/>
        <v>4.2415209331747779</v>
      </c>
    </row>
    <row r="18" spans="1:26" x14ac:dyDescent="0.25">
      <c r="A18">
        <v>1</v>
      </c>
      <c r="B18">
        <v>4.7087545136650002</v>
      </c>
      <c r="C18">
        <v>5.5295775155986302</v>
      </c>
      <c r="D18">
        <v>2.8526386362896998</v>
      </c>
      <c r="E18">
        <v>49.682705640792797</v>
      </c>
      <c r="F18">
        <v>13</v>
      </c>
      <c r="G18">
        <v>31.881481481481401</v>
      </c>
      <c r="H18">
        <v>31</v>
      </c>
      <c r="I18">
        <v>11</v>
      </c>
      <c r="J18">
        <v>59</v>
      </c>
      <c r="K18">
        <v>4304</v>
      </c>
      <c r="L18">
        <v>12.583483519690599</v>
      </c>
      <c r="M18">
        <v>3</v>
      </c>
      <c r="N18">
        <v>5.5928603736606899</v>
      </c>
      <c r="O18">
        <v>1.7654488566624</v>
      </c>
      <c r="P18">
        <v>1.12406002219483</v>
      </c>
      <c r="Q18">
        <v>49.682705640792797</v>
      </c>
      <c r="R18">
        <v>13</v>
      </c>
      <c r="S18">
        <v>11.0592592592592</v>
      </c>
      <c r="T18">
        <v>10</v>
      </c>
      <c r="U18">
        <v>3</v>
      </c>
      <c r="V18">
        <v>21</v>
      </c>
      <c r="W18">
        <v>1493</v>
      </c>
      <c r="X18">
        <v>4.60331315299337</v>
      </c>
      <c r="Y18">
        <f t="shared" si="0"/>
        <v>0.82804509401321325</v>
      </c>
      <c r="Z18">
        <f t="shared" si="1"/>
        <v>4.2353620574645001</v>
      </c>
    </row>
    <row r="19" spans="1:26" x14ac:dyDescent="0.25">
      <c r="A19">
        <v>1</v>
      </c>
      <c r="B19">
        <v>4.4286034197957598</v>
      </c>
      <c r="C19">
        <v>5.5000049517239598</v>
      </c>
      <c r="D19">
        <v>2.68639112291708</v>
      </c>
      <c r="E19">
        <v>53.5044522285461</v>
      </c>
      <c r="F19">
        <v>14</v>
      </c>
      <c r="G19">
        <v>32.851851851851798</v>
      </c>
      <c r="H19">
        <v>32</v>
      </c>
      <c r="I19">
        <v>11</v>
      </c>
      <c r="J19">
        <v>56</v>
      </c>
      <c r="K19">
        <v>4435</v>
      </c>
      <c r="L19">
        <v>11.701842257383801</v>
      </c>
      <c r="M19">
        <v>3</v>
      </c>
      <c r="N19">
        <v>5.5481651863625396</v>
      </c>
      <c r="O19">
        <v>1.82186105358525</v>
      </c>
      <c r="P19">
        <v>1.0221305059838799</v>
      </c>
      <c r="Q19">
        <v>53.5044522285461</v>
      </c>
      <c r="R19">
        <v>14</v>
      </c>
      <c r="S19">
        <v>5.9703703703703699</v>
      </c>
      <c r="T19">
        <v>6</v>
      </c>
      <c r="U19">
        <v>2</v>
      </c>
      <c r="V19">
        <v>11</v>
      </c>
      <c r="W19">
        <v>806</v>
      </c>
      <c r="X19">
        <v>2.3719150923010801</v>
      </c>
      <c r="Y19">
        <f t="shared" si="0"/>
        <v>0.89174087047576833</v>
      </c>
      <c r="Z19">
        <f t="shared" si="1"/>
        <v>4.189501698967077</v>
      </c>
    </row>
    <row r="20" spans="1:26" x14ac:dyDescent="0.25">
      <c r="A20">
        <v>1</v>
      </c>
      <c r="B20">
        <v>4.41688766512498</v>
      </c>
      <c r="C20">
        <v>5.4682947837320803</v>
      </c>
      <c r="D20">
        <v>2.6487157565278898</v>
      </c>
      <c r="E20">
        <v>57.326198816299403</v>
      </c>
      <c r="F20">
        <v>15</v>
      </c>
      <c r="G20">
        <v>35.266666666666602</v>
      </c>
      <c r="H20">
        <v>34</v>
      </c>
      <c r="I20">
        <v>14</v>
      </c>
      <c r="J20">
        <v>60</v>
      </c>
      <c r="K20">
        <v>4761</v>
      </c>
      <c r="L20">
        <v>12.203009171340501</v>
      </c>
      <c r="M20">
        <v>3</v>
      </c>
      <c r="N20">
        <v>5.7275892238290904</v>
      </c>
      <c r="O20">
        <v>1.76317041833572</v>
      </c>
      <c r="P20">
        <v>1.0515462959180399</v>
      </c>
      <c r="Q20">
        <v>57.326198816299403</v>
      </c>
      <c r="R20">
        <v>15</v>
      </c>
      <c r="S20">
        <v>11.2962962962962</v>
      </c>
      <c r="T20">
        <v>10</v>
      </c>
      <c r="U20">
        <v>4</v>
      </c>
      <c r="V20">
        <v>22</v>
      </c>
      <c r="W20">
        <v>1525</v>
      </c>
      <c r="X20">
        <v>4.5467293051423097</v>
      </c>
      <c r="Y20">
        <f t="shared" si="0"/>
        <v>0.95543664693832342</v>
      </c>
      <c r="Z20">
        <f t="shared" si="1"/>
        <v>4.2422677219793572</v>
      </c>
    </row>
    <row r="21" spans="1:26" x14ac:dyDescent="0.25">
      <c r="A21">
        <v>1</v>
      </c>
      <c r="B21">
        <v>4.3594284099121801</v>
      </c>
      <c r="C21">
        <v>5.4939284222032096</v>
      </c>
      <c r="D21">
        <v>2.6909933591209798</v>
      </c>
      <c r="E21">
        <v>61.147945404052699</v>
      </c>
      <c r="F21">
        <v>16</v>
      </c>
      <c r="G21">
        <v>31.7259259259259</v>
      </c>
      <c r="H21">
        <v>31</v>
      </c>
      <c r="I21">
        <v>9</v>
      </c>
      <c r="J21">
        <v>55</v>
      </c>
      <c r="K21">
        <v>4283</v>
      </c>
      <c r="L21">
        <v>12.066006047353399</v>
      </c>
      <c r="M21">
        <v>3</v>
      </c>
      <c r="N21">
        <v>5.7706270441199301</v>
      </c>
      <c r="O21">
        <v>1.8735379013779201</v>
      </c>
      <c r="P21">
        <v>1.1796090183232399</v>
      </c>
      <c r="Q21">
        <v>61.147945404052699</v>
      </c>
      <c r="R21">
        <v>16</v>
      </c>
      <c r="S21">
        <v>14.733333333333301</v>
      </c>
      <c r="T21">
        <v>14</v>
      </c>
      <c r="U21">
        <v>5</v>
      </c>
      <c r="V21">
        <v>27</v>
      </c>
      <c r="W21">
        <v>1989</v>
      </c>
      <c r="X21">
        <v>5.4652224763881199</v>
      </c>
      <c r="Y21">
        <f t="shared" si="0"/>
        <v>1.0191324234008783</v>
      </c>
      <c r="Z21">
        <f t="shared" si="1"/>
        <v>4.1692915146437111</v>
      </c>
    </row>
    <row r="22" spans="1:26" x14ac:dyDescent="0.25">
      <c r="A22">
        <v>1</v>
      </c>
      <c r="B22">
        <v>4.4025726056527699</v>
      </c>
      <c r="C22">
        <v>5.4241945625983696</v>
      </c>
      <c r="D22">
        <v>2.5492858293856702</v>
      </c>
      <c r="E22">
        <v>64.969691991806002</v>
      </c>
      <c r="F22">
        <v>17</v>
      </c>
      <c r="G22">
        <v>28.377777777777698</v>
      </c>
      <c r="H22">
        <v>28</v>
      </c>
      <c r="I22">
        <v>11</v>
      </c>
      <c r="J22">
        <v>49</v>
      </c>
      <c r="K22">
        <v>3831</v>
      </c>
      <c r="L22">
        <v>10.052746462672999</v>
      </c>
      <c r="M22">
        <v>3</v>
      </c>
      <c r="N22">
        <v>5.8003429978696897</v>
      </c>
      <c r="O22">
        <v>1.7472586391529099</v>
      </c>
      <c r="P22">
        <v>1.2563779670297699</v>
      </c>
      <c r="Q22">
        <v>64.969691991806002</v>
      </c>
      <c r="R22">
        <v>17</v>
      </c>
      <c r="S22">
        <v>10.8814814814814</v>
      </c>
      <c r="T22">
        <v>10</v>
      </c>
      <c r="U22">
        <v>4</v>
      </c>
      <c r="V22">
        <v>21</v>
      </c>
      <c r="W22">
        <v>1469</v>
      </c>
      <c r="X22">
        <v>4.4621991965207704</v>
      </c>
      <c r="Y22">
        <f t="shared" si="0"/>
        <v>1.0828281998634333</v>
      </c>
      <c r="Z22">
        <f t="shared" si="1"/>
        <v>4.1406799677134751</v>
      </c>
    </row>
    <row r="23" spans="1:26" x14ac:dyDescent="0.25">
      <c r="A23">
        <v>1</v>
      </c>
      <c r="B23">
        <v>4.2111363738194099</v>
      </c>
      <c r="C23">
        <v>5.5740374374735699</v>
      </c>
      <c r="D23">
        <v>2.78391584180837</v>
      </c>
      <c r="E23">
        <v>68.791438579559298</v>
      </c>
      <c r="F23">
        <v>18</v>
      </c>
      <c r="G23">
        <v>13.9777777777777</v>
      </c>
      <c r="H23">
        <v>14</v>
      </c>
      <c r="I23">
        <v>5</v>
      </c>
      <c r="J23">
        <v>25</v>
      </c>
      <c r="K23">
        <v>1887</v>
      </c>
      <c r="L23">
        <v>5.1288861009790301</v>
      </c>
      <c r="Z23">
        <f>AVERAGE(Z5:Z22)</f>
        <v>4.2309194884526331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231107_WT_2_Cell 2_SPB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2023-11-30T20:47:24Z</dcterms:created>
  <dcterms:modified xsi:type="dcterms:W3CDTF">2024-02-05T22:44:09Z</dcterms:modified>
</cp:coreProperties>
</file>