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WT\ROI\Anaphase\Anaphase A\"/>
    </mc:Choice>
  </mc:AlternateContent>
  <xr:revisionPtr revIDLastSave="0" documentId="13_ncr:1_{047718C7-087F-4E02-AF0F-5FE79E5DEFA9}" xr6:coauthVersionLast="45" xr6:coauthVersionMax="45" xr10:uidLastSave="{00000000-0000-0000-0000-000000000000}"/>
  <bookViews>
    <workbookView xWindow="1260" yWindow="570" windowWidth="24165" windowHeight="14565" xr2:uid="{00000000-000D-0000-FFFF-FFFF00000000}"/>
  </bookViews>
  <sheets>
    <sheet name="240627_WT_6_Cell 3_Kar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35" i="1" l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34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33" i="1"/>
  <c r="W28" i="1"/>
  <c r="W29" i="1"/>
  <c r="W30" i="1"/>
  <c r="W31" i="1"/>
  <c r="W32" i="1"/>
  <c r="W27" i="1"/>
  <c r="V30" i="1"/>
  <c r="V31" i="1"/>
  <c r="V32" i="1"/>
  <c r="V21" i="1"/>
  <c r="V22" i="1"/>
  <c r="V23" i="1"/>
  <c r="V24" i="1"/>
  <c r="V25" i="1"/>
  <c r="V26" i="1"/>
  <c r="V27" i="1"/>
  <c r="V28" i="1"/>
  <c r="V29" i="1"/>
  <c r="V19" i="1"/>
  <c r="V20" i="1"/>
  <c r="V16" i="1"/>
  <c r="V14" i="1"/>
  <c r="V13" i="1"/>
</calcChain>
</file>

<file path=xl/sharedStrings.xml><?xml version="1.0" encoding="utf-8"?>
<sst xmlns="http://schemas.openxmlformats.org/spreadsheetml/2006/main" count="117" uniqueCount="99">
  <si>
    <t>LABEL</t>
  </si>
  <si>
    <t>ID</t>
  </si>
  <si>
    <t>TRACK_ID</t>
  </si>
  <si>
    <t>QUALITY</t>
  </si>
  <si>
    <t>POSITION_X</t>
  </si>
  <si>
    <t>POSITION_Y</t>
  </si>
  <si>
    <t>POSITION_Z</t>
  </si>
  <si>
    <t>POSITION_T</t>
  </si>
  <si>
    <t>FRAME</t>
  </si>
  <si>
    <t>RADIUS</t>
  </si>
  <si>
    <t>VISIBILITY</t>
  </si>
  <si>
    <t>MANUAL_SPOT_COLOR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</si>
  <si>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</si>
  <si>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</si>
  <si>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</si>
  <si>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</si>
  <si>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</si>
  <si>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</si>
  <si>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CONTRAST_CH1</t>
  </si>
  <si>
    <t>SNR_CH1</t>
  </si>
  <si>
    <t>Label</t>
  </si>
  <si>
    <t>Spot ID</t>
  </si>
  <si>
    <t>Track ID</t>
  </si>
  <si>
    <t>Quality</t>
  </si>
  <si>
    <t>X</t>
  </si>
  <si>
    <t>Y</t>
  </si>
  <si>
    <t>Z</t>
  </si>
  <si>
    <t>T</t>
  </si>
  <si>
    <t>Frame</t>
  </si>
  <si>
    <t>Radius</t>
  </si>
  <si>
    <t>Visibility</t>
  </si>
  <si>
    <t>Manual spot color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</si>
  <si>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</si>
  <si>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</si>
  <si>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</si>
  <si>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</si>
  <si>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</si>
  <si>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</si>
  <si>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Contrast ch1</t>
  </si>
  <si>
    <t>Signal/Noise ratio ch1</t>
  </si>
  <si>
    <t>R</t>
  </si>
  <si>
    <t>Spot color</t>
  </si>
  <si>
    <t>Mean ch1</t>
  </si>
  <si>
    <t>Median ch1</t>
  </si>
  <si>
    <t>Min ch1</t>
  </si>
  <si>
    <t>Max ch1</t>
  </si>
  <si>
    <t>Sum ch1</t>
  </si>
  <si>
    <t>Std ch1</t>
  </si>
  <si>
    <t>Ctrst ch1</t>
  </si>
  <si>
    <t>SNR ch1</t>
  </si>
  <si>
    <t>(quality)</t>
  </si>
  <si>
    <t>(micron)</t>
  </si>
  <si>
    <t>(sec)</t>
  </si>
  <si>
    <t>(counts)</t>
  </si>
  <si>
    <t>ID3455244</t>
  </si>
  <si>
    <t>ID3455309</t>
  </si>
  <si>
    <t>ID3455280</t>
  </si>
  <si>
    <t>ID3455267</t>
  </si>
  <si>
    <t>ID3455301</t>
  </si>
  <si>
    <t>ID3455290</t>
  </si>
  <si>
    <t>ID3455320</t>
  </si>
  <si>
    <t>ID3455327</t>
  </si>
  <si>
    <t>ID3455143</t>
  </si>
  <si>
    <t>ID3455108</t>
  </si>
  <si>
    <t>ID3455131</t>
  </si>
  <si>
    <t>ID3455173</t>
  </si>
  <si>
    <t>ID3455198</t>
  </si>
  <si>
    <t>ID3455259</t>
  </si>
  <si>
    <t>ID3455221</t>
  </si>
  <si>
    <t>ID3455237</t>
  </si>
  <si>
    <t>ID3455211</t>
  </si>
  <si>
    <t>ID3455247</t>
  </si>
  <si>
    <t>ID3455311</t>
  </si>
  <si>
    <t>ID3455283</t>
  </si>
  <si>
    <t>ID3455271</t>
  </si>
  <si>
    <t>ID3455304</t>
  </si>
  <si>
    <t>ID3455293</t>
  </si>
  <si>
    <t>ID3455324</t>
  </si>
  <si>
    <t>ID3455330</t>
  </si>
  <si>
    <t>ID3455138</t>
  </si>
  <si>
    <t>ID3455104</t>
  </si>
  <si>
    <t>ID3455160</t>
  </si>
  <si>
    <t>ID3455127</t>
  </si>
  <si>
    <t>ID3455118</t>
  </si>
  <si>
    <t>ID3455184</t>
  </si>
  <si>
    <t>ID3455169</t>
  </si>
  <si>
    <t>ID3455201</t>
  </si>
  <si>
    <t>ID3455255</t>
  </si>
  <si>
    <t>ID3455215</t>
  </si>
  <si>
    <t>ID3455231</t>
  </si>
  <si>
    <t>ID3455205</t>
  </si>
  <si>
    <t>ID3455242</t>
  </si>
  <si>
    <t>ID3455308</t>
  </si>
  <si>
    <t>ID3455279</t>
  </si>
  <si>
    <t>ID3455266</t>
  </si>
  <si>
    <t>ID3455300</t>
  </si>
  <si>
    <t>ID3455289</t>
  </si>
  <si>
    <t>ID3455318</t>
  </si>
  <si>
    <t>ID3455328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</si>
</sst>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'240627_WT_6_Cell 3_Kar9'!$H$13:$H$32</c:f>
              <c:numCache>
                <c:formatCode>General</c:formatCode>
                <c:ptCount val="20"/>
                <c:pt idx="0">
                  <c:v>0</c:v>
                </c:pt>
                <c:pt idx="1">
                  <c:v>3.8217427730560298</c:v>
                </c:pt>
                <c:pt idx="3">
                  <c:v>11.465228319168</c:v>
                </c:pt>
                <c:pt idx="6">
                  <c:v>22.9304566383361</c:v>
                </c:pt>
                <c:pt idx="7">
                  <c:v>26.752199411392201</c:v>
                </c:pt>
                <c:pt idx="8">
                  <c:v>30.5739421844482</c:v>
                </c:pt>
                <c:pt idx="9">
                  <c:v>34.395684957504201</c:v>
                </c:pt>
                <c:pt idx="10">
                  <c:v>38.217427730560303</c:v>
                </c:pt>
                <c:pt idx="11">
                  <c:v>42.039170503616297</c:v>
                </c:pt>
                <c:pt idx="12">
                  <c:v>45.860913276672299</c:v>
                </c:pt>
                <c:pt idx="13">
                  <c:v>49.682656049728301</c:v>
                </c:pt>
                <c:pt idx="14">
                  <c:v>53.504398822784403</c:v>
                </c:pt>
                <c:pt idx="15">
                  <c:v>57.326141595840397</c:v>
                </c:pt>
                <c:pt idx="16">
                  <c:v>61.147884368896399</c:v>
                </c:pt>
                <c:pt idx="17">
                  <c:v>64.9696271419525</c:v>
                </c:pt>
                <c:pt idx="18">
                  <c:v>68.791369915008502</c:v>
                </c:pt>
                <c:pt idx="19">
                  <c:v>72.613112688064504</c:v>
                </c:pt>
              </c:numCache>
            </c:numRef>
          </c:xVal>
          <c:yVal>
            <c:numRef>
              <c:f>'240627_WT_6_Cell 3_Kar9'!$V$13:$V$32</c:f>
              <c:numCache>
                <c:formatCode>General</c:formatCode>
                <c:ptCount val="20"/>
                <c:pt idx="0">
                  <c:v>1.4186216934652884</c:v>
                </c:pt>
                <c:pt idx="1">
                  <c:v>1.4988291112076895</c:v>
                </c:pt>
                <c:pt idx="3">
                  <c:v>1.4602636166639742</c:v>
                </c:pt>
                <c:pt idx="6">
                  <c:v>1.725071051573219</c:v>
                </c:pt>
                <c:pt idx="7">
                  <c:v>1.8092750231073309</c:v>
                </c:pt>
                <c:pt idx="8">
                  <c:v>1.8927299892571345</c:v>
                </c:pt>
                <c:pt idx="9">
                  <c:v>1.9472445935321767</c:v>
                </c:pt>
                <c:pt idx="10">
                  <c:v>1.9505456913590153</c:v>
                </c:pt>
                <c:pt idx="11">
                  <c:v>1.9923137419359727</c:v>
                </c:pt>
                <c:pt idx="12">
                  <c:v>2.0935628247770439</c:v>
                </c:pt>
                <c:pt idx="13">
                  <c:v>2.0666729551243219</c:v>
                </c:pt>
                <c:pt idx="14">
                  <c:v>2.0535436230706843</c:v>
                </c:pt>
                <c:pt idx="15">
                  <c:v>2.0310299343808786</c:v>
                </c:pt>
                <c:pt idx="16">
                  <c:v>1.927686440842828</c:v>
                </c:pt>
                <c:pt idx="17">
                  <c:v>1.8811408770542577</c:v>
                </c:pt>
                <c:pt idx="18">
                  <c:v>1.7626843339085221</c:v>
                </c:pt>
                <c:pt idx="19">
                  <c:v>1.6478160975659526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2A-44EC-A566-5E38D8A73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229736"/>
        <c:axId val="768229408"/>
      </c:scatterChart>
      <c:valAx>
        <c:axId val="768229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229408"/>
        <c:crosses val="autoZero"/>
        <c:crossBetween val="midCat"/>
      </c:valAx>
      <c:valAx>
        <c:axId val="7682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229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'240627_WT_6_Cell 3_Kar9'!$H$33:$H$52</c:f>
              <c:numCache>
                <c:formatCode>General</c:formatCode>
                <c:ptCount val="20"/>
                <c:pt idx="0">
                  <c:v>0</c:v>
                </c:pt>
                <c:pt idx="1">
                  <c:v>3.8217427730560298</c:v>
                </c:pt>
                <c:pt idx="2">
                  <c:v>7.6434855461120597</c:v>
                </c:pt>
                <c:pt idx="3">
                  <c:v>11.465228319168</c:v>
                </c:pt>
                <c:pt idx="4">
                  <c:v>15.2869710922241</c:v>
                </c:pt>
                <c:pt idx="5">
                  <c:v>19.108713865280102</c:v>
                </c:pt>
                <c:pt idx="6">
                  <c:v>22.9304566383361</c:v>
                </c:pt>
                <c:pt idx="7">
                  <c:v>26.752199411392201</c:v>
                </c:pt>
                <c:pt idx="8">
                  <c:v>30.5739421844482</c:v>
                </c:pt>
                <c:pt idx="9">
                  <c:v>34.395684957504201</c:v>
                </c:pt>
                <c:pt idx="10">
                  <c:v>38.217427730560303</c:v>
                </c:pt>
                <c:pt idx="11">
                  <c:v>42.039170503616297</c:v>
                </c:pt>
                <c:pt idx="12">
                  <c:v>45.860913276672299</c:v>
                </c:pt>
                <c:pt idx="13">
                  <c:v>49.682656049728301</c:v>
                </c:pt>
                <c:pt idx="14">
                  <c:v>53.504398822784403</c:v>
                </c:pt>
                <c:pt idx="15">
                  <c:v>57.326141595840397</c:v>
                </c:pt>
                <c:pt idx="16">
                  <c:v>61.147884368896399</c:v>
                </c:pt>
                <c:pt idx="17">
                  <c:v>64.9696271419525</c:v>
                </c:pt>
                <c:pt idx="18">
                  <c:v>68.791369915008502</c:v>
                </c:pt>
                <c:pt idx="19">
                  <c:v>72.613112688064504</c:v>
                </c:pt>
              </c:numCache>
            </c:numRef>
          </c:xVal>
          <c:yVal>
            <c:numRef>
              <c:f>'240627_WT_6_Cell 3_Kar9'!$V$33:$V$52</c:f>
              <c:numCache>
                <c:formatCode>General</c:formatCode>
                <c:ptCount val="20"/>
                <c:pt idx="0">
                  <c:v>1.6110751885798531</c:v>
                </c:pt>
                <c:pt idx="1">
                  <c:v>1.6806446023327877</c:v>
                </c:pt>
                <c:pt idx="2">
                  <c:v>1.54496288703764</c:v>
                </c:pt>
                <c:pt idx="3">
                  <c:v>1.8222217359072135</c:v>
                </c:pt>
                <c:pt idx="4">
                  <c:v>1.8831425711816112</c:v>
                </c:pt>
                <c:pt idx="5">
                  <c:v>1.9458816671122181</c:v>
                </c:pt>
                <c:pt idx="6">
                  <c:v>2.0225742547229961</c:v>
                </c:pt>
                <c:pt idx="7">
                  <c:v>2.0919260076257227</c:v>
                </c:pt>
                <c:pt idx="8">
                  <c:v>2.0862358827085852</c:v>
                </c:pt>
                <c:pt idx="9">
                  <c:v>2.0975960643589349</c:v>
                </c:pt>
                <c:pt idx="10">
                  <c:v>2.1278187482973543</c:v>
                </c:pt>
                <c:pt idx="11">
                  <c:v>2.1286239716686017</c:v>
                </c:pt>
                <c:pt idx="12">
                  <c:v>2.1627008883017833</c:v>
                </c:pt>
                <c:pt idx="13">
                  <c:v>2.1480101145773758</c:v>
                </c:pt>
                <c:pt idx="14">
                  <c:v>2.2816776767463245</c:v>
                </c:pt>
                <c:pt idx="15">
                  <c:v>2.4952547956142972</c:v>
                </c:pt>
                <c:pt idx="16">
                  <c:v>2.4671972841060392</c:v>
                </c:pt>
                <c:pt idx="17">
                  <c:v>2.4350953289133246</c:v>
                </c:pt>
                <c:pt idx="18">
                  <c:v>2.467006755637617</c:v>
                </c:pt>
                <c:pt idx="19">
                  <c:v>2.3983685381167308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17-4FCF-BD45-0066A4420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242528"/>
        <c:axId val="768216288"/>
      </c:scatterChart>
      <c:valAx>
        <c:axId val="76824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216288"/>
        <c:crosses val="autoZero"/>
        <c:crossBetween val="midCat"/>
      </c:valAx>
      <c:valAx>
        <c:axId val="768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242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604837</xdr:colOff>
      <xdr:row>12</xdr:row>
      <xdr:rowOff>66675</xdr:rowOff>
    </xdr:from>
    <xdr:to>
      <xdr:col>30</xdr:col>
      <xdr:colOff>300037</xdr:colOff>
      <xdr:row>26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644869-36F5-4B84-B987-97329C2D8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309562</xdr:colOff>
      <xdr:row>32</xdr:row>
      <xdr:rowOff>28575</xdr:rowOff>
    </xdr:from>
    <xdr:to>
      <xdr:col>31</xdr:col>
      <xdr:colOff>4762</xdr:colOff>
      <xdr:row>46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F91765-4052-476B-BF37-2A10B9FDA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5"/>
  <sheetViews>
    <sheetView tabSelected="1" topLeftCell="G13" workbookViewId="0">
      <selection activeCell="Y52" sqref="Y52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2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2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40</v>
      </c>
      <c r="K3" t="s">
        <v>30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</row>
    <row r="4" spans="1:22" x14ac:dyDescent="0.25">
      <c r="D4" t="s">
        <v>50</v>
      </c>
      <c r="E4" t="s">
        <v>51</v>
      </c>
      <c r="F4" t="s">
        <v>51</v>
      </c>
      <c r="G4" t="s">
        <v>51</v>
      </c>
      <c r="H4" t="s">
        <v>52</v>
      </c>
      <c r="J4" t="s">
        <v>51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</row>
    <row r="5" spans="1:22" x14ac:dyDescent="0.25">
      <c r="A5" t="s">
        <v>54</v>
      </c>
      <c r="B5">
        <v>3455244</v>
      </c>
      <c r="C5" s="1">
        <v>1</v>
      </c>
      <c r="D5" s="1">
        <v>12.9267044067382</v>
      </c>
      <c r="E5" s="1">
        <v>0.82860811659979905</v>
      </c>
      <c r="F5" s="1">
        <v>3.6495000934522701</v>
      </c>
      <c r="G5" s="1">
        <v>1.58003525778758</v>
      </c>
      <c r="H5" s="1">
        <v>45.860913276672299</v>
      </c>
      <c r="I5">
        <v>12</v>
      </c>
      <c r="J5">
        <v>0.1</v>
      </c>
      <c r="K5">
        <v>1</v>
      </c>
      <c r="M5">
        <v>107.164556962025</v>
      </c>
      <c r="N5">
        <v>110</v>
      </c>
      <c r="O5">
        <v>54</v>
      </c>
      <c r="P5">
        <v>143</v>
      </c>
      <c r="Q5">
        <v>8466</v>
      </c>
      <c r="R5">
        <v>20.646245315662899</v>
      </c>
      <c r="S5">
        <v>0.26788116338921097</v>
      </c>
      <c r="T5">
        <v>2.1933286519711999</v>
      </c>
    </row>
    <row r="6" spans="1:22" x14ac:dyDescent="0.25">
      <c r="A6" t="s">
        <v>55</v>
      </c>
      <c r="B6">
        <v>3455309</v>
      </c>
      <c r="C6" s="1">
        <v>1</v>
      </c>
      <c r="D6" s="1">
        <v>4.5665130615234304</v>
      </c>
      <c r="E6" s="1">
        <v>0.88612777586158098</v>
      </c>
      <c r="F6" s="1">
        <v>3.9247108132206998</v>
      </c>
      <c r="G6" s="1">
        <v>1.57943391062101</v>
      </c>
      <c r="H6" s="1">
        <v>49.682656049728301</v>
      </c>
      <c r="I6">
        <v>13</v>
      </c>
      <c r="J6">
        <v>0.1</v>
      </c>
      <c r="K6">
        <v>1</v>
      </c>
      <c r="M6">
        <v>53.962025316455602</v>
      </c>
      <c r="N6">
        <v>54</v>
      </c>
      <c r="O6">
        <v>33</v>
      </c>
      <c r="P6">
        <v>69</v>
      </c>
      <c r="Q6">
        <v>4263</v>
      </c>
      <c r="R6">
        <v>8.3427275838188795</v>
      </c>
      <c r="S6">
        <v>0.16132942813220399</v>
      </c>
      <c r="T6">
        <v>1.7970838339597801</v>
      </c>
    </row>
    <row r="7" spans="1:22" x14ac:dyDescent="0.25">
      <c r="A7" t="s">
        <v>56</v>
      </c>
      <c r="B7">
        <v>3455280</v>
      </c>
      <c r="C7" s="1">
        <v>1</v>
      </c>
      <c r="D7" s="1">
        <v>13.1980895996093</v>
      </c>
      <c r="E7" s="1">
        <v>1.0538124344350901</v>
      </c>
      <c r="F7" s="1">
        <v>4.08266792735549</v>
      </c>
      <c r="G7" s="1">
        <v>1.34617265937791</v>
      </c>
      <c r="H7" s="1">
        <v>53.504398822784403</v>
      </c>
      <c r="I7">
        <v>14</v>
      </c>
      <c r="J7">
        <v>0.1</v>
      </c>
      <c r="K7">
        <v>1</v>
      </c>
      <c r="M7">
        <v>93.822784810126507</v>
      </c>
      <c r="N7">
        <v>96</v>
      </c>
      <c r="O7">
        <v>44</v>
      </c>
      <c r="P7">
        <v>134</v>
      </c>
      <c r="Q7">
        <v>7412</v>
      </c>
      <c r="R7">
        <v>23.279108876718698</v>
      </c>
      <c r="S7">
        <v>0.30043009442583002</v>
      </c>
      <c r="T7">
        <v>1.86220885075454</v>
      </c>
    </row>
    <row r="8" spans="1:22" x14ac:dyDescent="0.25">
      <c r="A8" t="s">
        <v>57</v>
      </c>
      <c r="B8">
        <v>3455267</v>
      </c>
      <c r="C8" s="1">
        <v>1</v>
      </c>
      <c r="D8" s="1">
        <v>2.9930438995361301</v>
      </c>
      <c r="E8" s="1">
        <v>1.0269729211995</v>
      </c>
      <c r="F8" s="1">
        <v>4.1081891890504796</v>
      </c>
      <c r="G8" s="1">
        <v>1.3471472975838099</v>
      </c>
      <c r="H8" s="1">
        <v>57.326141595840397</v>
      </c>
      <c r="I8">
        <v>15</v>
      </c>
      <c r="J8">
        <v>0.1</v>
      </c>
      <c r="K8">
        <v>1</v>
      </c>
      <c r="M8">
        <v>28.556962025316398</v>
      </c>
      <c r="N8">
        <v>30</v>
      </c>
      <c r="O8">
        <v>15</v>
      </c>
      <c r="P8">
        <v>38</v>
      </c>
      <c r="Q8">
        <v>2256</v>
      </c>
      <c r="R8">
        <v>6.1472254225768603</v>
      </c>
      <c r="S8">
        <v>0.21085980946133301</v>
      </c>
      <c r="T8">
        <v>1.61794146635282</v>
      </c>
    </row>
    <row r="9" spans="1:22" x14ac:dyDescent="0.25">
      <c r="A9" t="s">
        <v>58</v>
      </c>
      <c r="B9">
        <v>3455301</v>
      </c>
      <c r="C9" s="1">
        <v>1</v>
      </c>
      <c r="D9" s="1">
        <v>8.1395721435546804</v>
      </c>
      <c r="E9" s="1">
        <v>1.0309175384270399</v>
      </c>
      <c r="F9" s="1">
        <v>4.0928009538825902</v>
      </c>
      <c r="G9" s="1">
        <v>1.42027825992399</v>
      </c>
      <c r="H9" s="1">
        <v>61.147884368896399</v>
      </c>
      <c r="I9">
        <v>16</v>
      </c>
      <c r="J9">
        <v>0.1</v>
      </c>
      <c r="K9">
        <v>1</v>
      </c>
      <c r="M9">
        <v>68.341772151898695</v>
      </c>
      <c r="N9">
        <v>70</v>
      </c>
      <c r="O9">
        <v>39</v>
      </c>
      <c r="P9">
        <v>89</v>
      </c>
      <c r="Q9">
        <v>5399</v>
      </c>
      <c r="R9">
        <v>11.962426299587399</v>
      </c>
      <c r="S9">
        <v>0.25509573491910997</v>
      </c>
      <c r="T9">
        <v>2.3223266204570701</v>
      </c>
    </row>
    <row r="10" spans="1:22" x14ac:dyDescent="0.25">
      <c r="A10" t="s">
        <v>59</v>
      </c>
      <c r="B10">
        <v>3455290</v>
      </c>
      <c r="C10" s="1">
        <v>1</v>
      </c>
      <c r="D10" s="1">
        <v>4.7128562927245996</v>
      </c>
      <c r="E10" s="1">
        <v>1.1800507116632899</v>
      </c>
      <c r="F10" s="1">
        <v>4.2809215086816303</v>
      </c>
      <c r="G10" s="1">
        <v>1.5310937736447501</v>
      </c>
      <c r="H10" s="1">
        <v>64.9696271419525</v>
      </c>
      <c r="I10">
        <v>17</v>
      </c>
      <c r="J10">
        <v>0.1</v>
      </c>
      <c r="K10">
        <v>1</v>
      </c>
      <c r="M10">
        <v>44.354430379746802</v>
      </c>
      <c r="N10">
        <v>46</v>
      </c>
      <c r="O10">
        <v>21</v>
      </c>
      <c r="P10">
        <v>56</v>
      </c>
      <c r="Q10">
        <v>3504</v>
      </c>
      <c r="R10">
        <v>8.3451782096525697</v>
      </c>
      <c r="S10">
        <v>0.22373014375511399</v>
      </c>
      <c r="T10">
        <v>1.94343594123329</v>
      </c>
    </row>
    <row r="11" spans="1:22" x14ac:dyDescent="0.25">
      <c r="A11" t="s">
        <v>60</v>
      </c>
      <c r="B11">
        <v>3455320</v>
      </c>
      <c r="C11" s="1">
        <v>1</v>
      </c>
      <c r="D11" s="1">
        <v>3.8438949584960902</v>
      </c>
      <c r="E11" s="1">
        <v>1.0091531496341799</v>
      </c>
      <c r="F11" s="1">
        <v>4.3977302989086198</v>
      </c>
      <c r="G11" s="1">
        <v>1.6454949285168401</v>
      </c>
      <c r="H11" s="1">
        <v>68.791369915008502</v>
      </c>
      <c r="I11">
        <v>18</v>
      </c>
      <c r="J11">
        <v>0.1</v>
      </c>
      <c r="K11">
        <v>1</v>
      </c>
      <c r="M11">
        <v>43.683544303797397</v>
      </c>
      <c r="N11">
        <v>45</v>
      </c>
      <c r="O11">
        <v>24</v>
      </c>
      <c r="P11">
        <v>55</v>
      </c>
      <c r="Q11">
        <v>3451</v>
      </c>
      <c r="R11">
        <v>7.4533494514941996</v>
      </c>
      <c r="S11">
        <v>0.174066323085595</v>
      </c>
      <c r="T11">
        <v>1.7378748752542601</v>
      </c>
    </row>
    <row r="12" spans="1:22" x14ac:dyDescent="0.25">
      <c r="A12" t="s">
        <v>61</v>
      </c>
      <c r="B12">
        <v>3455327</v>
      </c>
      <c r="C12" s="1">
        <v>1</v>
      </c>
      <c r="D12" s="1">
        <v>9.5911788940429599</v>
      </c>
      <c r="E12" s="1">
        <v>0.95843242006416696</v>
      </c>
      <c r="F12" s="1">
        <v>4.5030604100887599</v>
      </c>
      <c r="G12" s="1">
        <v>1.53580920089741</v>
      </c>
      <c r="H12" s="1">
        <v>72.613112688064504</v>
      </c>
      <c r="I12">
        <v>19</v>
      </c>
      <c r="J12">
        <v>0.1</v>
      </c>
      <c r="K12">
        <v>1</v>
      </c>
      <c r="M12">
        <v>76.721518987341696</v>
      </c>
      <c r="N12">
        <v>79</v>
      </c>
      <c r="O12">
        <v>37</v>
      </c>
      <c r="P12">
        <v>102</v>
      </c>
      <c r="Q12">
        <v>6061</v>
      </c>
      <c r="R12">
        <v>14.684665566205499</v>
      </c>
      <c r="S12">
        <v>0.27448068486777599</v>
      </c>
      <c r="T12">
        <v>2.25041005110754</v>
      </c>
    </row>
    <row r="13" spans="1:22" x14ac:dyDescent="0.25">
      <c r="A13" t="s">
        <v>62</v>
      </c>
      <c r="B13">
        <v>3455143</v>
      </c>
      <c r="C13">
        <v>2</v>
      </c>
      <c r="D13">
        <v>52.05712890625</v>
      </c>
      <c r="E13">
        <v>0.55459726111419705</v>
      </c>
      <c r="F13">
        <v>3.88045351143779</v>
      </c>
      <c r="G13">
        <v>2.47438949156078</v>
      </c>
      <c r="H13">
        <v>0</v>
      </c>
      <c r="I13">
        <v>0</v>
      </c>
      <c r="J13">
        <v>0.1</v>
      </c>
      <c r="K13">
        <v>1</v>
      </c>
      <c r="M13">
        <v>361.93670886075898</v>
      </c>
      <c r="N13">
        <v>362</v>
      </c>
      <c r="O13">
        <v>187</v>
      </c>
      <c r="P13">
        <v>518</v>
      </c>
      <c r="Q13">
        <v>28593</v>
      </c>
      <c r="R13">
        <v>81.026007501256203</v>
      </c>
      <c r="S13">
        <v>0.32316218315821499</v>
      </c>
      <c r="T13">
        <v>2.1819542594561501</v>
      </c>
      <c r="V13">
        <f>SQRT((E56-E13)^2+(F56-F13)^2+(G56-G13)^2)</f>
        <v>1.4186216934652884</v>
      </c>
    </row>
    <row r="14" spans="1:22" x14ac:dyDescent="0.25">
      <c r="A14" t="s">
        <v>63</v>
      </c>
      <c r="B14">
        <v>3455108</v>
      </c>
      <c r="C14">
        <v>2</v>
      </c>
      <c r="D14">
        <v>54.062774658203097</v>
      </c>
      <c r="E14">
        <v>0.60509830849858504</v>
      </c>
      <c r="F14">
        <v>4.0679667963614703</v>
      </c>
      <c r="G14">
        <v>2.5815281392270499</v>
      </c>
      <c r="H14">
        <v>3.8217427730560298</v>
      </c>
      <c r="I14">
        <v>1</v>
      </c>
      <c r="J14">
        <v>0.1</v>
      </c>
      <c r="K14">
        <v>1</v>
      </c>
      <c r="M14">
        <v>377.13924050632897</v>
      </c>
      <c r="N14">
        <v>385</v>
      </c>
      <c r="O14">
        <v>185</v>
      </c>
      <c r="P14">
        <v>536</v>
      </c>
      <c r="Q14">
        <v>29794</v>
      </c>
      <c r="R14">
        <v>83.626111456676497</v>
      </c>
      <c r="S14">
        <v>0.32147226724150602</v>
      </c>
      <c r="T14">
        <v>2.1941952709252401</v>
      </c>
      <c r="V14">
        <f>SQRT((E57-E14)^2+(F57-F14)^2+(G57-G14)^2)</f>
        <v>1.4988291112076895</v>
      </c>
    </row>
    <row r="16" spans="1:22" x14ac:dyDescent="0.25">
      <c r="A16" t="s">
        <v>64</v>
      </c>
      <c r="B16">
        <v>3455131</v>
      </c>
      <c r="C16">
        <v>2</v>
      </c>
      <c r="D16">
        <v>22.7131042480468</v>
      </c>
      <c r="E16">
        <v>0.56475319512546596</v>
      </c>
      <c r="F16">
        <v>3.2632540250864701</v>
      </c>
      <c r="G16">
        <v>2.0023297669148201</v>
      </c>
      <c r="H16">
        <v>11.465228319168</v>
      </c>
      <c r="I16">
        <v>3</v>
      </c>
      <c r="J16">
        <v>0.1</v>
      </c>
      <c r="K16">
        <v>1</v>
      </c>
      <c r="M16">
        <v>185.87341772151899</v>
      </c>
      <c r="N16">
        <v>190</v>
      </c>
      <c r="O16">
        <v>101</v>
      </c>
      <c r="P16">
        <v>247</v>
      </c>
      <c r="Q16">
        <v>14684</v>
      </c>
      <c r="R16">
        <v>34.595970970623</v>
      </c>
      <c r="S16">
        <v>0.26096104914065998</v>
      </c>
      <c r="T16">
        <v>2.22380024824158</v>
      </c>
      <c r="V16">
        <f>SQRT((E59-E16)^2+(F59-F16)^2+(G59-G16)^2)</f>
        <v>1.4602636166639742</v>
      </c>
    </row>
    <row r="19" spans="1:23" x14ac:dyDescent="0.25">
      <c r="A19" t="s">
        <v>65</v>
      </c>
      <c r="B19">
        <v>3455173</v>
      </c>
      <c r="C19">
        <v>2</v>
      </c>
      <c r="D19">
        <v>9.0036544799804599</v>
      </c>
      <c r="E19">
        <v>0.46029951555743598</v>
      </c>
      <c r="F19">
        <v>3.6780922327875598</v>
      </c>
      <c r="G19">
        <v>1.86917508698966</v>
      </c>
      <c r="H19">
        <v>22.9304566383361</v>
      </c>
      <c r="I19">
        <v>6</v>
      </c>
      <c r="J19">
        <v>0.1</v>
      </c>
      <c r="K19">
        <v>1</v>
      </c>
      <c r="M19">
        <v>79.6202531645569</v>
      </c>
      <c r="N19">
        <v>82</v>
      </c>
      <c r="O19">
        <v>45</v>
      </c>
      <c r="P19">
        <v>105</v>
      </c>
      <c r="Q19">
        <v>6290</v>
      </c>
      <c r="R19">
        <v>14.348504610253601</v>
      </c>
      <c r="S19">
        <v>0.24098846122966</v>
      </c>
      <c r="T19">
        <v>2.1551396317799298</v>
      </c>
      <c r="V19">
        <f t="shared" ref="V17:W32" si="0">SQRT((E62-E19)^2+(F62-F19)^2+(G62-G19)^2)</f>
        <v>1.725071051573219</v>
      </c>
    </row>
    <row r="20" spans="1:23" x14ac:dyDescent="0.25">
      <c r="A20" t="s">
        <v>66</v>
      </c>
      <c r="B20">
        <v>3455198</v>
      </c>
      <c r="C20">
        <v>2</v>
      </c>
      <c r="D20">
        <v>13.626594543456999</v>
      </c>
      <c r="E20">
        <v>0.51924013793395396</v>
      </c>
      <c r="F20">
        <v>3.9626743627565202</v>
      </c>
      <c r="G20">
        <v>1.66652873542974</v>
      </c>
      <c r="H20">
        <v>26.752199411392201</v>
      </c>
      <c r="I20">
        <v>7</v>
      </c>
      <c r="J20">
        <v>0.1</v>
      </c>
      <c r="K20">
        <v>1</v>
      </c>
      <c r="M20">
        <v>118.46835443037899</v>
      </c>
      <c r="N20">
        <v>119</v>
      </c>
      <c r="O20">
        <v>70</v>
      </c>
      <c r="P20">
        <v>157</v>
      </c>
      <c r="Q20">
        <v>9359</v>
      </c>
      <c r="R20">
        <v>22.1491653156605</v>
      </c>
      <c r="S20">
        <v>0.24870376066918901</v>
      </c>
      <c r="T20">
        <v>2.1305803618358401</v>
      </c>
      <c r="V20">
        <f t="shared" si="0"/>
        <v>1.8092750231073309</v>
      </c>
    </row>
    <row r="21" spans="1:23" x14ac:dyDescent="0.25">
      <c r="A21" t="s">
        <v>67</v>
      </c>
      <c r="B21">
        <v>3455259</v>
      </c>
      <c r="C21">
        <v>2</v>
      </c>
      <c r="D21">
        <v>21.1410217285156</v>
      </c>
      <c r="E21">
        <v>0.47545711677435998</v>
      </c>
      <c r="F21">
        <v>4.0410888226669703</v>
      </c>
      <c r="G21">
        <v>1.8520877087401</v>
      </c>
      <c r="H21">
        <v>30.5739421844482</v>
      </c>
      <c r="I21">
        <v>8</v>
      </c>
      <c r="J21">
        <v>0.1</v>
      </c>
      <c r="K21">
        <v>1</v>
      </c>
      <c r="M21">
        <v>140.12658227848101</v>
      </c>
      <c r="N21">
        <v>139</v>
      </c>
      <c r="O21">
        <v>66</v>
      </c>
      <c r="P21">
        <v>205</v>
      </c>
      <c r="Q21">
        <v>11070</v>
      </c>
      <c r="R21">
        <v>33.135838174139401</v>
      </c>
      <c r="S21">
        <v>0.33426409067853202</v>
      </c>
      <c r="T21">
        <v>2.1188513549238901</v>
      </c>
      <c r="V21">
        <f t="shared" si="0"/>
        <v>1.8927299892571345</v>
      </c>
    </row>
    <row r="22" spans="1:23" x14ac:dyDescent="0.25">
      <c r="A22" t="s">
        <v>68</v>
      </c>
      <c r="B22">
        <v>3455221</v>
      </c>
      <c r="C22">
        <v>2</v>
      </c>
      <c r="D22">
        <v>26.635116577148398</v>
      </c>
      <c r="E22">
        <v>0.50490804874355699</v>
      </c>
      <c r="F22">
        <v>4.0650198017678596</v>
      </c>
      <c r="G22">
        <v>1.9003564672018201</v>
      </c>
      <c r="H22">
        <v>34.395684957504201</v>
      </c>
      <c r="I22">
        <v>9</v>
      </c>
      <c r="J22">
        <v>0.1</v>
      </c>
      <c r="K22">
        <v>1</v>
      </c>
      <c r="M22">
        <v>187.518987341772</v>
      </c>
      <c r="N22">
        <v>186</v>
      </c>
      <c r="O22">
        <v>108</v>
      </c>
      <c r="P22">
        <v>266</v>
      </c>
      <c r="Q22">
        <v>14814</v>
      </c>
      <c r="R22">
        <v>38.2477955656014</v>
      </c>
      <c r="S22">
        <v>0.31386311043487197</v>
      </c>
      <c r="T22">
        <v>2.3423888420008399</v>
      </c>
      <c r="V22">
        <f t="shared" si="0"/>
        <v>1.9472445935321767</v>
      </c>
    </row>
    <row r="23" spans="1:23" x14ac:dyDescent="0.25">
      <c r="A23" t="s">
        <v>69</v>
      </c>
      <c r="B23">
        <v>3455237</v>
      </c>
      <c r="C23">
        <v>2</v>
      </c>
      <c r="D23">
        <v>31.749618530273398</v>
      </c>
      <c r="E23">
        <v>0.47319575889459498</v>
      </c>
      <c r="F23">
        <v>3.8445274260578799</v>
      </c>
      <c r="G23">
        <v>2.0071796960705299</v>
      </c>
      <c r="H23">
        <v>38.217427730560303</v>
      </c>
      <c r="I23">
        <v>10</v>
      </c>
      <c r="J23">
        <v>0.1</v>
      </c>
      <c r="K23">
        <v>1</v>
      </c>
      <c r="M23">
        <v>220.70886075949301</v>
      </c>
      <c r="N23">
        <v>217</v>
      </c>
      <c r="O23">
        <v>124</v>
      </c>
      <c r="P23">
        <v>311</v>
      </c>
      <c r="Q23">
        <v>17436</v>
      </c>
      <c r="R23">
        <v>44.1727819371851</v>
      </c>
      <c r="S23">
        <v>0.31951183006546902</v>
      </c>
      <c r="T23">
        <v>2.4197398001617101</v>
      </c>
      <c r="V23">
        <f t="shared" si="0"/>
        <v>1.9505456913590153</v>
      </c>
    </row>
    <row r="24" spans="1:23" x14ac:dyDescent="0.25">
      <c r="A24" t="s">
        <v>70</v>
      </c>
      <c r="B24">
        <v>3455211</v>
      </c>
      <c r="C24">
        <v>2</v>
      </c>
      <c r="D24">
        <v>27.5679321289062</v>
      </c>
      <c r="E24">
        <v>0.50538627761655097</v>
      </c>
      <c r="F24">
        <v>3.81973960982002</v>
      </c>
      <c r="G24">
        <v>2.1556863213586199</v>
      </c>
      <c r="H24">
        <v>42.039170503616297</v>
      </c>
      <c r="I24">
        <v>11</v>
      </c>
      <c r="J24">
        <v>0.1</v>
      </c>
      <c r="K24">
        <v>1</v>
      </c>
      <c r="M24">
        <v>211.822784810126</v>
      </c>
      <c r="N24">
        <v>216</v>
      </c>
      <c r="O24">
        <v>116</v>
      </c>
      <c r="P24">
        <v>286</v>
      </c>
      <c r="Q24">
        <v>16734</v>
      </c>
      <c r="R24">
        <v>39.405114692642101</v>
      </c>
      <c r="S24">
        <v>0.288250772058945</v>
      </c>
      <c r="T24">
        <v>2.4055818640281998</v>
      </c>
      <c r="V24">
        <f t="shared" si="0"/>
        <v>1.9923137419359727</v>
      </c>
    </row>
    <row r="25" spans="1:23" x14ac:dyDescent="0.25">
      <c r="A25" t="s">
        <v>71</v>
      </c>
      <c r="B25">
        <v>3455247</v>
      </c>
      <c r="C25">
        <v>2</v>
      </c>
      <c r="D25">
        <v>18.008621215820298</v>
      </c>
      <c r="E25">
        <v>0.54515958997867497</v>
      </c>
      <c r="F25">
        <v>4.0098214973730402</v>
      </c>
      <c r="G25">
        <v>1.95790521305792</v>
      </c>
      <c r="H25">
        <v>45.860913276672299</v>
      </c>
      <c r="I25">
        <v>12</v>
      </c>
      <c r="J25">
        <v>0.1</v>
      </c>
      <c r="K25">
        <v>1</v>
      </c>
      <c r="M25">
        <v>146.88607594936701</v>
      </c>
      <c r="N25">
        <v>149</v>
      </c>
      <c r="O25">
        <v>75</v>
      </c>
      <c r="P25">
        <v>198</v>
      </c>
      <c r="Q25">
        <v>11604</v>
      </c>
      <c r="R25">
        <v>28.582309098090199</v>
      </c>
      <c r="S25">
        <v>0.269436097902505</v>
      </c>
      <c r="T25">
        <v>2.1815152303492402</v>
      </c>
      <c r="V25">
        <f t="shared" si="0"/>
        <v>2.0935628247770439</v>
      </c>
    </row>
    <row r="26" spans="1:23" x14ac:dyDescent="0.25">
      <c r="A26" t="s">
        <v>72</v>
      </c>
      <c r="B26">
        <v>3455311</v>
      </c>
      <c r="C26">
        <v>2</v>
      </c>
      <c r="D26">
        <v>17.121574401855401</v>
      </c>
      <c r="E26">
        <v>0.54972349261458198</v>
      </c>
      <c r="F26">
        <v>4.0013165782343103</v>
      </c>
      <c r="G26">
        <v>1.91080565165337</v>
      </c>
      <c r="H26">
        <v>49.682656049728301</v>
      </c>
      <c r="I26">
        <v>13</v>
      </c>
      <c r="J26">
        <v>0.1</v>
      </c>
      <c r="K26">
        <v>1</v>
      </c>
      <c r="M26">
        <v>147.139240506329</v>
      </c>
      <c r="N26">
        <v>150</v>
      </c>
      <c r="O26">
        <v>77</v>
      </c>
      <c r="P26">
        <v>192</v>
      </c>
      <c r="Q26">
        <v>11624</v>
      </c>
      <c r="R26">
        <v>26.625962930566001</v>
      </c>
      <c r="S26">
        <v>0.249779925732494</v>
      </c>
      <c r="T26">
        <v>2.2089056707433299</v>
      </c>
      <c r="V26">
        <f t="shared" si="0"/>
        <v>2.0666729551243219</v>
      </c>
    </row>
    <row r="27" spans="1:23" x14ac:dyDescent="0.25">
      <c r="A27" t="s">
        <v>73</v>
      </c>
      <c r="B27">
        <v>3455283</v>
      </c>
      <c r="C27">
        <v>2</v>
      </c>
      <c r="D27">
        <v>24.4720458984375</v>
      </c>
      <c r="E27">
        <v>0.61225855194146805</v>
      </c>
      <c r="F27">
        <v>4.1617667810731502</v>
      </c>
      <c r="G27">
        <v>1.79731110171119</v>
      </c>
      <c r="H27">
        <v>53.504398822784403</v>
      </c>
      <c r="I27">
        <v>14</v>
      </c>
      <c r="J27">
        <v>0.1</v>
      </c>
      <c r="K27">
        <v>1</v>
      </c>
      <c r="M27">
        <v>186.79746835443001</v>
      </c>
      <c r="N27">
        <v>192</v>
      </c>
      <c r="O27">
        <v>86</v>
      </c>
      <c r="P27">
        <v>253</v>
      </c>
      <c r="Q27">
        <v>14757</v>
      </c>
      <c r="R27">
        <v>38.585363156498303</v>
      </c>
      <c r="S27">
        <v>0.29012329039576301</v>
      </c>
      <c r="T27">
        <v>2.1773576337831502</v>
      </c>
      <c r="V27">
        <f t="shared" si="0"/>
        <v>2.0535436230706843</v>
      </c>
      <c r="W27">
        <f>SQRT((E27-E26)^2+(F27-F26)^2+(G27-G26)^2)</f>
        <v>0.20624236738027429</v>
      </c>
    </row>
    <row r="28" spans="1:23" x14ac:dyDescent="0.25">
      <c r="A28" t="s">
        <v>74</v>
      </c>
      <c r="B28">
        <v>3455271</v>
      </c>
      <c r="C28">
        <v>2</v>
      </c>
      <c r="D28">
        <v>27.715072631835898</v>
      </c>
      <c r="E28">
        <v>0.63765373326916197</v>
      </c>
      <c r="F28">
        <v>4.1318987637022202</v>
      </c>
      <c r="G28">
        <v>1.7656269481815601</v>
      </c>
      <c r="H28">
        <v>57.326141595840397</v>
      </c>
      <c r="I28">
        <v>15</v>
      </c>
      <c r="J28">
        <v>0.1</v>
      </c>
      <c r="K28">
        <v>1</v>
      </c>
      <c r="M28">
        <v>211.69620253164501</v>
      </c>
      <c r="N28">
        <v>215</v>
      </c>
      <c r="O28">
        <v>103</v>
      </c>
      <c r="P28">
        <v>287</v>
      </c>
      <c r="Q28">
        <v>16724</v>
      </c>
      <c r="R28">
        <v>42.182860303007701</v>
      </c>
      <c r="S28">
        <v>0.28874989564804099</v>
      </c>
      <c r="T28">
        <v>2.2488486678450301</v>
      </c>
      <c r="V28">
        <f t="shared" si="0"/>
        <v>2.0310299343808786</v>
      </c>
      <c r="W28">
        <f t="shared" ref="W28:W32" si="1">SQRT((E28-E27)^2+(F28-F27)^2+(G28-G27)^2)</f>
        <v>5.0407333605595461E-2</v>
      </c>
    </row>
    <row r="29" spans="1:23" x14ac:dyDescent="0.25">
      <c r="A29" t="s">
        <v>75</v>
      </c>
      <c r="B29">
        <v>3455304</v>
      </c>
      <c r="C29">
        <v>2</v>
      </c>
      <c r="D29">
        <v>27.205337524413999</v>
      </c>
      <c r="E29">
        <v>0.48597254758285602</v>
      </c>
      <c r="F29">
        <v>3.8680026080943501</v>
      </c>
      <c r="G29">
        <v>1.8686987001794599</v>
      </c>
      <c r="H29">
        <v>61.147884368896399</v>
      </c>
      <c r="I29">
        <v>16</v>
      </c>
      <c r="J29">
        <v>0.1</v>
      </c>
      <c r="K29">
        <v>1</v>
      </c>
      <c r="M29">
        <v>195.79746835443001</v>
      </c>
      <c r="N29">
        <v>200</v>
      </c>
      <c r="O29">
        <v>88</v>
      </c>
      <c r="P29">
        <v>273</v>
      </c>
      <c r="Q29">
        <v>15468</v>
      </c>
      <c r="R29">
        <v>45.708490976565301</v>
      </c>
      <c r="S29">
        <v>0.30591997684818401</v>
      </c>
      <c r="T29">
        <v>2.0069264485798302</v>
      </c>
      <c r="V29">
        <f t="shared" si="0"/>
        <v>1.927686440842828</v>
      </c>
      <c r="W29">
        <f t="shared" si="1"/>
        <v>0.321359843626632</v>
      </c>
    </row>
    <row r="30" spans="1:23" x14ac:dyDescent="0.25">
      <c r="A30" t="s">
        <v>76</v>
      </c>
      <c r="B30">
        <v>3455293</v>
      </c>
      <c r="C30">
        <v>2</v>
      </c>
      <c r="D30">
        <v>32.129196166992102</v>
      </c>
      <c r="E30">
        <v>0.47634678038063</v>
      </c>
      <c r="F30">
        <v>3.9520938950406999</v>
      </c>
      <c r="G30">
        <v>2.0634696427904702</v>
      </c>
      <c r="H30">
        <v>64.9696271419525</v>
      </c>
      <c r="I30">
        <v>17</v>
      </c>
      <c r="J30">
        <v>0.1</v>
      </c>
      <c r="K30">
        <v>1</v>
      </c>
      <c r="M30">
        <v>219.59493670885999</v>
      </c>
      <c r="N30">
        <v>217</v>
      </c>
      <c r="O30">
        <v>116</v>
      </c>
      <c r="P30">
        <v>315</v>
      </c>
      <c r="Q30">
        <v>17348</v>
      </c>
      <c r="R30">
        <v>49.175905864804797</v>
      </c>
      <c r="S30">
        <v>0.32701155946296301</v>
      </c>
      <c r="T30">
        <v>2.2008393773108499</v>
      </c>
      <c r="V30">
        <f t="shared" si="0"/>
        <v>1.8811408770542577</v>
      </c>
      <c r="W30">
        <f t="shared" si="1"/>
        <v>0.21236694662801511</v>
      </c>
    </row>
    <row r="31" spans="1:23" x14ac:dyDescent="0.25">
      <c r="A31" t="s">
        <v>77</v>
      </c>
      <c r="B31">
        <v>3455324</v>
      </c>
      <c r="C31">
        <v>2</v>
      </c>
      <c r="D31">
        <v>21.6405334472656</v>
      </c>
      <c r="E31">
        <v>0.54874565950500898</v>
      </c>
      <c r="F31">
        <v>3.740910261881</v>
      </c>
      <c r="G31">
        <v>2.2924791160709499</v>
      </c>
      <c r="H31">
        <v>68.791369915008502</v>
      </c>
      <c r="I31">
        <v>18</v>
      </c>
      <c r="J31">
        <v>0.1</v>
      </c>
      <c r="K31">
        <v>1</v>
      </c>
      <c r="M31">
        <v>156.84810126582201</v>
      </c>
      <c r="N31">
        <v>163</v>
      </c>
      <c r="O31">
        <v>70</v>
      </c>
      <c r="P31">
        <v>221</v>
      </c>
      <c r="Q31">
        <v>12391</v>
      </c>
      <c r="R31">
        <v>38.3446210608125</v>
      </c>
      <c r="S31">
        <v>0.30488791796286102</v>
      </c>
      <c r="T31">
        <v>1.91148905531763</v>
      </c>
      <c r="V31">
        <f t="shared" si="0"/>
        <v>1.7626843339085221</v>
      </c>
      <c r="W31">
        <f t="shared" si="1"/>
        <v>0.31982098659281244</v>
      </c>
    </row>
    <row r="32" spans="1:23" x14ac:dyDescent="0.25">
      <c r="A32" t="s">
        <v>78</v>
      </c>
      <c r="B32">
        <v>3455330</v>
      </c>
      <c r="C32">
        <v>2</v>
      </c>
      <c r="D32">
        <v>30.929428100585898</v>
      </c>
      <c r="E32">
        <v>0.46254826279287897</v>
      </c>
      <c r="F32">
        <v>3.8009254411358802</v>
      </c>
      <c r="G32">
        <v>2.3084567537893501</v>
      </c>
      <c r="H32">
        <v>72.613112688064504</v>
      </c>
      <c r="I32">
        <v>19</v>
      </c>
      <c r="J32">
        <v>0.1</v>
      </c>
      <c r="K32">
        <v>1</v>
      </c>
      <c r="M32">
        <v>214.06329113923999</v>
      </c>
      <c r="N32">
        <v>216</v>
      </c>
      <c r="O32">
        <v>114</v>
      </c>
      <c r="P32">
        <v>305</v>
      </c>
      <c r="Q32">
        <v>16911</v>
      </c>
      <c r="R32">
        <v>50.065685513658998</v>
      </c>
      <c r="S32">
        <v>0.325585747595101</v>
      </c>
      <c r="T32">
        <v>2.1003399179906999</v>
      </c>
      <c r="V32">
        <f t="shared" si="0"/>
        <v>1.6478160975659526</v>
      </c>
      <c r="W32">
        <f t="shared" si="1"/>
        <v>0.10624075417655962</v>
      </c>
    </row>
    <row r="33" spans="1:23" x14ac:dyDescent="0.25">
      <c r="A33" t="s">
        <v>79</v>
      </c>
      <c r="B33">
        <v>3455138</v>
      </c>
      <c r="C33">
        <v>29</v>
      </c>
      <c r="D33">
        <v>21.76025390625</v>
      </c>
      <c r="E33">
        <v>0.55104170313613599</v>
      </c>
      <c r="F33">
        <v>4.0807980983053298</v>
      </c>
      <c r="G33">
        <v>1.7863724693465799</v>
      </c>
      <c r="H33">
        <v>0</v>
      </c>
      <c r="I33">
        <v>0</v>
      </c>
      <c r="J33">
        <v>0.1</v>
      </c>
      <c r="K33">
        <v>1</v>
      </c>
      <c r="M33">
        <v>201.86075949367</v>
      </c>
      <c r="N33">
        <v>207</v>
      </c>
      <c r="O33">
        <v>103</v>
      </c>
      <c r="P33">
        <v>269</v>
      </c>
      <c r="Q33">
        <v>15947</v>
      </c>
      <c r="R33">
        <v>37.988775055073802</v>
      </c>
      <c r="S33">
        <v>0.23898098706357099</v>
      </c>
      <c r="T33">
        <v>2.0498652691982802</v>
      </c>
      <c r="V33">
        <f>SQRT((E56-E33)^2+(F56-F33)^2+(G56-G33)^2)</f>
        <v>1.6110751885798531</v>
      </c>
    </row>
    <row r="34" spans="1:23" x14ac:dyDescent="0.25">
      <c r="A34" t="s">
        <v>80</v>
      </c>
      <c r="B34">
        <v>3455104</v>
      </c>
      <c r="C34">
        <v>29</v>
      </c>
      <c r="D34">
        <v>17.8360290527343</v>
      </c>
      <c r="E34">
        <v>0.61614322758578199</v>
      </c>
      <c r="F34">
        <v>4.2332336212208199</v>
      </c>
      <c r="G34">
        <v>1.6946927211387</v>
      </c>
      <c r="H34">
        <v>3.8217427730560298</v>
      </c>
      <c r="I34">
        <v>1</v>
      </c>
      <c r="J34">
        <v>0.1</v>
      </c>
      <c r="K34">
        <v>1</v>
      </c>
      <c r="M34">
        <v>168.77215189873399</v>
      </c>
      <c r="N34">
        <v>173</v>
      </c>
      <c r="O34">
        <v>88</v>
      </c>
      <c r="P34">
        <v>221</v>
      </c>
      <c r="Q34">
        <v>13333</v>
      </c>
      <c r="R34">
        <v>30.3141455375034</v>
      </c>
      <c r="S34">
        <v>0.24060460826348601</v>
      </c>
      <c r="T34">
        <v>2.1595138970488699</v>
      </c>
      <c r="V34">
        <f t="shared" ref="V34:W52" si="2">SQRT((E57-E34)^2+(F57-F34)^2+(G57-G34)^2)</f>
        <v>1.6806446023327877</v>
      </c>
      <c r="W34">
        <f>SQRT((E34-E33)^2+(F34-F33)^2+(G34-G33)^2)</f>
        <v>0.18942009757057734</v>
      </c>
    </row>
    <row r="35" spans="1:23" x14ac:dyDescent="0.25">
      <c r="A35" t="s">
        <v>81</v>
      </c>
      <c r="B35">
        <v>3455160</v>
      </c>
      <c r="C35">
        <v>29</v>
      </c>
      <c r="D35">
        <v>38.248260498046797</v>
      </c>
      <c r="E35">
        <v>0.60242886707460397</v>
      </c>
      <c r="F35">
        <v>3.9062840744329201</v>
      </c>
      <c r="G35">
        <v>2.38588755287181</v>
      </c>
      <c r="H35">
        <v>7.6434855461120597</v>
      </c>
      <c r="I35">
        <v>2</v>
      </c>
      <c r="J35">
        <v>0.1</v>
      </c>
      <c r="K35">
        <v>1</v>
      </c>
      <c r="M35">
        <v>302.37974683544297</v>
      </c>
      <c r="N35">
        <v>308</v>
      </c>
      <c r="O35">
        <v>152</v>
      </c>
      <c r="P35">
        <v>410</v>
      </c>
      <c r="Q35">
        <v>23888</v>
      </c>
      <c r="R35">
        <v>61.921435706345498</v>
      </c>
      <c r="S35">
        <v>0.28085771807302301</v>
      </c>
      <c r="T35">
        <v>2.1415447348813799</v>
      </c>
      <c r="V35">
        <f t="shared" si="2"/>
        <v>1.54496288703764</v>
      </c>
      <c r="W35">
        <f t="shared" ref="W35:W52" si="3">SQRT((E35-E34)^2+(F35-F34)^2+(G35-G34)^2)</f>
        <v>0.76474465362211319</v>
      </c>
    </row>
    <row r="36" spans="1:23" x14ac:dyDescent="0.25">
      <c r="A36" t="s">
        <v>82</v>
      </c>
      <c r="B36">
        <v>3455127</v>
      </c>
      <c r="C36">
        <v>29</v>
      </c>
      <c r="D36">
        <v>4.4602355957031197</v>
      </c>
      <c r="E36">
        <v>0.62028040962768005</v>
      </c>
      <c r="F36">
        <v>3.7699373306703698</v>
      </c>
      <c r="G36">
        <v>1.50452627892586</v>
      </c>
      <c r="H36">
        <v>11.465228319168</v>
      </c>
      <c r="I36">
        <v>3</v>
      </c>
      <c r="J36">
        <v>0.1</v>
      </c>
      <c r="K36">
        <v>1</v>
      </c>
      <c r="M36">
        <v>48.974683544303801</v>
      </c>
      <c r="N36">
        <v>50</v>
      </c>
      <c r="O36">
        <v>31</v>
      </c>
      <c r="P36">
        <v>60</v>
      </c>
      <c r="Q36">
        <v>3869</v>
      </c>
      <c r="R36">
        <v>7.0401316340117397</v>
      </c>
      <c r="S36">
        <v>0.19568371262522599</v>
      </c>
      <c r="T36">
        <v>2.2769800244096698</v>
      </c>
      <c r="V36">
        <f t="shared" si="2"/>
        <v>1.8222217359072135</v>
      </c>
      <c r="W36">
        <f t="shared" si="3"/>
        <v>0.89202399481056716</v>
      </c>
    </row>
    <row r="37" spans="1:23" x14ac:dyDescent="0.25">
      <c r="A37" t="s">
        <v>83</v>
      </c>
      <c r="B37">
        <v>3455118</v>
      </c>
      <c r="C37">
        <v>29</v>
      </c>
      <c r="D37">
        <v>13.3595657348632</v>
      </c>
      <c r="E37">
        <v>0.546121541366413</v>
      </c>
      <c r="F37">
        <v>3.7457690488203799</v>
      </c>
      <c r="G37">
        <v>1.7989633576280999</v>
      </c>
      <c r="H37">
        <v>15.2869710922241</v>
      </c>
      <c r="I37">
        <v>4</v>
      </c>
      <c r="J37">
        <v>0.1</v>
      </c>
      <c r="K37">
        <v>1</v>
      </c>
      <c r="M37">
        <v>101.455696202531</v>
      </c>
      <c r="N37">
        <v>104</v>
      </c>
      <c r="O37">
        <v>54</v>
      </c>
      <c r="P37">
        <v>140</v>
      </c>
      <c r="Q37">
        <v>8015</v>
      </c>
      <c r="R37">
        <v>22.720033782677501</v>
      </c>
      <c r="S37">
        <v>0.29133142203990398</v>
      </c>
      <c r="T37">
        <v>2.0148701741656798</v>
      </c>
      <c r="V37">
        <f t="shared" si="2"/>
        <v>1.8831425711816112</v>
      </c>
      <c r="W37">
        <f t="shared" si="3"/>
        <v>0.30459290356815855</v>
      </c>
    </row>
    <row r="38" spans="1:23" x14ac:dyDescent="0.25">
      <c r="A38" t="s">
        <v>84</v>
      </c>
      <c r="B38">
        <v>3455184</v>
      </c>
      <c r="C38">
        <v>29</v>
      </c>
      <c r="D38">
        <v>13.4589309692382</v>
      </c>
      <c r="E38">
        <v>0.56519833349784498</v>
      </c>
      <c r="F38">
        <v>3.9677930858555399</v>
      </c>
      <c r="G38">
        <v>1.8547074291255601</v>
      </c>
      <c r="H38">
        <v>19.108713865280102</v>
      </c>
      <c r="I38">
        <v>5</v>
      </c>
      <c r="J38">
        <v>0.1</v>
      </c>
      <c r="K38">
        <v>1</v>
      </c>
      <c r="M38">
        <v>97.658227848101205</v>
      </c>
      <c r="N38">
        <v>98</v>
      </c>
      <c r="O38">
        <v>58</v>
      </c>
      <c r="P38">
        <v>137</v>
      </c>
      <c r="Q38">
        <v>7715</v>
      </c>
      <c r="R38">
        <v>20.7944063459564</v>
      </c>
      <c r="S38">
        <v>0.30196595734507498</v>
      </c>
      <c r="T38">
        <v>2.1784653892548702</v>
      </c>
      <c r="V38">
        <f t="shared" si="2"/>
        <v>1.9458816671122181</v>
      </c>
      <c r="W38">
        <f t="shared" si="3"/>
        <v>0.22970850773650056</v>
      </c>
    </row>
    <row r="39" spans="1:23" x14ac:dyDescent="0.25">
      <c r="A39" t="s">
        <v>85</v>
      </c>
      <c r="B39">
        <v>3455169</v>
      </c>
      <c r="C39">
        <v>29</v>
      </c>
      <c r="D39">
        <v>15.3259887695312</v>
      </c>
      <c r="E39">
        <v>0.70452355372748299</v>
      </c>
      <c r="F39">
        <v>4.1854353616512698</v>
      </c>
      <c r="G39">
        <v>1.4806026018034399</v>
      </c>
      <c r="H39">
        <v>22.9304566383361</v>
      </c>
      <c r="I39">
        <v>6</v>
      </c>
      <c r="J39">
        <v>0.1</v>
      </c>
      <c r="K39">
        <v>1</v>
      </c>
      <c r="M39">
        <v>111.101265822784</v>
      </c>
      <c r="N39">
        <v>116</v>
      </c>
      <c r="O39">
        <v>48</v>
      </c>
      <c r="P39">
        <v>155</v>
      </c>
      <c r="Q39">
        <v>8777</v>
      </c>
      <c r="R39">
        <v>26.031339562204401</v>
      </c>
      <c r="S39">
        <v>0.302361047710413</v>
      </c>
      <c r="T39">
        <v>1.9817411551419599</v>
      </c>
      <c r="V39">
        <f t="shared" si="2"/>
        <v>2.0225742547229961</v>
      </c>
      <c r="W39">
        <f t="shared" si="3"/>
        <v>0.45468021623036892</v>
      </c>
    </row>
    <row r="40" spans="1:23" x14ac:dyDescent="0.25">
      <c r="A40" t="s">
        <v>86</v>
      </c>
      <c r="B40">
        <v>3455201</v>
      </c>
      <c r="C40">
        <v>29</v>
      </c>
      <c r="D40">
        <v>12.020622253417899</v>
      </c>
      <c r="E40">
        <v>0.61766875247159703</v>
      </c>
      <c r="F40">
        <v>4.3263798834680998</v>
      </c>
      <c r="G40">
        <v>1.91750722873461</v>
      </c>
      <c r="H40">
        <v>26.752199411392201</v>
      </c>
      <c r="I40">
        <v>7</v>
      </c>
      <c r="J40">
        <v>0.1</v>
      </c>
      <c r="K40">
        <v>1</v>
      </c>
      <c r="M40">
        <v>94.518987341772103</v>
      </c>
      <c r="N40">
        <v>95</v>
      </c>
      <c r="O40">
        <v>51</v>
      </c>
      <c r="P40">
        <v>129</v>
      </c>
      <c r="Q40">
        <v>7467</v>
      </c>
      <c r="R40">
        <v>18.283985398109898</v>
      </c>
      <c r="S40">
        <v>0.27470369085642399</v>
      </c>
      <c r="T40">
        <v>2.2280936513123502</v>
      </c>
      <c r="V40">
        <f t="shared" si="2"/>
        <v>2.0919260076257227</v>
      </c>
      <c r="W40">
        <f t="shared" si="3"/>
        <v>0.46722025615895463</v>
      </c>
    </row>
    <row r="41" spans="1:23" x14ac:dyDescent="0.25">
      <c r="A41" t="s">
        <v>87</v>
      </c>
      <c r="B41">
        <v>3455255</v>
      </c>
      <c r="C41">
        <v>29</v>
      </c>
      <c r="D41">
        <v>13.150276184081999</v>
      </c>
      <c r="E41">
        <v>0.75347905825032602</v>
      </c>
      <c r="F41">
        <v>4.3815458889995398</v>
      </c>
      <c r="G41">
        <v>1.5172701173607901</v>
      </c>
      <c r="H41">
        <v>30.5739421844482</v>
      </c>
      <c r="I41">
        <v>8</v>
      </c>
      <c r="J41">
        <v>0.1</v>
      </c>
      <c r="K41">
        <v>1</v>
      </c>
      <c r="M41">
        <v>96.392405063291093</v>
      </c>
      <c r="N41">
        <v>98</v>
      </c>
      <c r="O41">
        <v>55</v>
      </c>
      <c r="P41">
        <v>134</v>
      </c>
      <c r="Q41">
        <v>7615</v>
      </c>
      <c r="R41">
        <v>19.006353675519801</v>
      </c>
      <c r="S41">
        <v>0.29959339707570098</v>
      </c>
      <c r="T41">
        <v>2.3382920165551102</v>
      </c>
      <c r="V41">
        <f t="shared" si="2"/>
        <v>2.0862358827085852</v>
      </c>
      <c r="W41">
        <f t="shared" si="3"/>
        <v>0.42623640464285339</v>
      </c>
    </row>
    <row r="42" spans="1:23" x14ac:dyDescent="0.25">
      <c r="A42" t="s">
        <v>88</v>
      </c>
      <c r="B42">
        <v>3455215</v>
      </c>
      <c r="C42">
        <v>29</v>
      </c>
      <c r="D42">
        <v>11.3621063232421</v>
      </c>
      <c r="E42">
        <v>0.75676251050318499</v>
      </c>
      <c r="F42">
        <v>4.3485407704859496</v>
      </c>
      <c r="G42">
        <v>1.44750843602427</v>
      </c>
      <c r="H42">
        <v>34.395684957504201</v>
      </c>
      <c r="I42">
        <v>9</v>
      </c>
      <c r="J42">
        <v>0.1</v>
      </c>
      <c r="K42">
        <v>1</v>
      </c>
      <c r="M42">
        <v>102.70886075949301</v>
      </c>
      <c r="N42">
        <v>102</v>
      </c>
      <c r="O42">
        <v>65</v>
      </c>
      <c r="P42">
        <v>131</v>
      </c>
      <c r="Q42">
        <v>8114</v>
      </c>
      <c r="R42">
        <v>15.7196201907648</v>
      </c>
      <c r="S42">
        <v>0.23830179048949701</v>
      </c>
      <c r="T42">
        <v>2.5147606940872498</v>
      </c>
      <c r="V42">
        <f t="shared" si="2"/>
        <v>2.0975960643589349</v>
      </c>
      <c r="W42">
        <f t="shared" si="3"/>
        <v>7.7245136349747681E-2</v>
      </c>
    </row>
    <row r="43" spans="1:23" x14ac:dyDescent="0.25">
      <c r="A43" t="s">
        <v>89</v>
      </c>
      <c r="B43">
        <v>3455231</v>
      </c>
      <c r="C43">
        <v>29</v>
      </c>
      <c r="D43">
        <v>13.4483947753906</v>
      </c>
      <c r="E43">
        <v>0.72188605156114205</v>
      </c>
      <c r="F43">
        <v>4.1510764253843702</v>
      </c>
      <c r="G43">
        <v>1.3160230800696</v>
      </c>
      <c r="H43">
        <v>38.217427730560303</v>
      </c>
      <c r="I43">
        <v>10</v>
      </c>
      <c r="J43">
        <v>0.1</v>
      </c>
      <c r="K43">
        <v>1</v>
      </c>
      <c r="M43">
        <v>113.987341772151</v>
      </c>
      <c r="N43">
        <v>116</v>
      </c>
      <c r="O43">
        <v>68</v>
      </c>
      <c r="P43">
        <v>150</v>
      </c>
      <c r="Q43">
        <v>9005</v>
      </c>
      <c r="R43">
        <v>20.6766892596631</v>
      </c>
      <c r="S43">
        <v>0.25687748643112701</v>
      </c>
      <c r="T43">
        <v>2.25340221263578</v>
      </c>
      <c r="V43">
        <f t="shared" si="2"/>
        <v>2.1278187482973543</v>
      </c>
      <c r="W43">
        <f t="shared" si="3"/>
        <v>0.23978518262240045</v>
      </c>
    </row>
    <row r="44" spans="1:23" x14ac:dyDescent="0.25">
      <c r="A44" t="s">
        <v>90</v>
      </c>
      <c r="B44">
        <v>3455205</v>
      </c>
      <c r="C44">
        <v>29</v>
      </c>
      <c r="D44">
        <v>11.9239654541015</v>
      </c>
      <c r="E44">
        <v>0.73629973438354501</v>
      </c>
      <c r="F44">
        <v>4.12676709544251</v>
      </c>
      <c r="G44">
        <v>1.43643171456782</v>
      </c>
      <c r="H44">
        <v>42.039170503616297</v>
      </c>
      <c r="I44">
        <v>11</v>
      </c>
      <c r="J44">
        <v>0.1</v>
      </c>
      <c r="K44">
        <v>1</v>
      </c>
      <c r="M44">
        <v>95.240506329113899</v>
      </c>
      <c r="N44">
        <v>97</v>
      </c>
      <c r="O44">
        <v>47</v>
      </c>
      <c r="P44">
        <v>128</v>
      </c>
      <c r="Q44">
        <v>7524</v>
      </c>
      <c r="R44">
        <v>19.542993491585101</v>
      </c>
      <c r="S44">
        <v>0.27681117747158701</v>
      </c>
      <c r="T44">
        <v>2.1130878389971701</v>
      </c>
      <c r="V44">
        <f t="shared" si="2"/>
        <v>2.1286239716686017</v>
      </c>
      <c r="W44">
        <f t="shared" si="3"/>
        <v>0.12368078685249782</v>
      </c>
    </row>
    <row r="45" spans="1:23" x14ac:dyDescent="0.25">
      <c r="A45" t="s">
        <v>91</v>
      </c>
      <c r="B45">
        <v>3455242</v>
      </c>
      <c r="C45">
        <v>29</v>
      </c>
      <c r="D45">
        <v>9.8574066162109304</v>
      </c>
      <c r="E45">
        <v>0.67552115191841999</v>
      </c>
      <c r="F45">
        <v>4.06118892321303</v>
      </c>
      <c r="G45">
        <v>1.36701780413649</v>
      </c>
      <c r="H45">
        <v>45.860913276672299</v>
      </c>
      <c r="I45">
        <v>12</v>
      </c>
      <c r="J45">
        <v>0.1</v>
      </c>
      <c r="K45">
        <v>1</v>
      </c>
      <c r="M45">
        <v>93.797468354430293</v>
      </c>
      <c r="N45">
        <v>95</v>
      </c>
      <c r="O45">
        <v>48</v>
      </c>
      <c r="P45">
        <v>126</v>
      </c>
      <c r="Q45">
        <v>7410</v>
      </c>
      <c r="R45">
        <v>19.797293098335899</v>
      </c>
      <c r="S45">
        <v>0.22786982812307899</v>
      </c>
      <c r="T45">
        <v>1.7585300600526601</v>
      </c>
      <c r="V45">
        <f t="shared" si="2"/>
        <v>2.1627008883017833</v>
      </c>
      <c r="W45">
        <f t="shared" si="3"/>
        <v>0.11319374417695549</v>
      </c>
    </row>
    <row r="46" spans="1:23" x14ac:dyDescent="0.25">
      <c r="A46" t="s">
        <v>92</v>
      </c>
      <c r="B46">
        <v>3455308</v>
      </c>
      <c r="C46">
        <v>29</v>
      </c>
      <c r="D46">
        <v>6.2516021728515598</v>
      </c>
      <c r="E46">
        <v>0.81686852518296404</v>
      </c>
      <c r="F46">
        <v>4.1247366626731701</v>
      </c>
      <c r="G46">
        <v>1.31450384913402</v>
      </c>
      <c r="H46">
        <v>49.682656049728301</v>
      </c>
      <c r="I46">
        <v>13</v>
      </c>
      <c r="J46">
        <v>0.1</v>
      </c>
      <c r="K46">
        <v>1</v>
      </c>
      <c r="M46">
        <v>66.113924050632903</v>
      </c>
      <c r="N46">
        <v>67</v>
      </c>
      <c r="O46">
        <v>39</v>
      </c>
      <c r="P46">
        <v>82</v>
      </c>
      <c r="Q46">
        <v>5223</v>
      </c>
      <c r="R46">
        <v>9.7059159091341396</v>
      </c>
      <c r="S46">
        <v>0.196451268574446</v>
      </c>
      <c r="T46">
        <v>2.23689824598861</v>
      </c>
      <c r="V46">
        <f t="shared" si="2"/>
        <v>2.1480101145773758</v>
      </c>
      <c r="W46">
        <f t="shared" si="3"/>
        <v>0.16363101964261431</v>
      </c>
    </row>
    <row r="47" spans="1:23" x14ac:dyDescent="0.25">
      <c r="A47" t="s">
        <v>93</v>
      </c>
      <c r="B47">
        <v>3455279</v>
      </c>
      <c r="C47">
        <v>29</v>
      </c>
      <c r="D47">
        <v>6.1611366271972603</v>
      </c>
      <c r="E47">
        <v>1.0194764102987</v>
      </c>
      <c r="F47">
        <v>4.3902618406496403</v>
      </c>
      <c r="G47">
        <v>1.10619745058041</v>
      </c>
      <c r="H47">
        <v>53.504398822784403</v>
      </c>
      <c r="I47">
        <v>14</v>
      </c>
      <c r="J47">
        <v>0.1</v>
      </c>
      <c r="K47">
        <v>1</v>
      </c>
      <c r="M47">
        <v>61.4050632911392</v>
      </c>
      <c r="N47">
        <v>64</v>
      </c>
      <c r="O47">
        <v>29</v>
      </c>
      <c r="P47">
        <v>78</v>
      </c>
      <c r="Q47">
        <v>4851</v>
      </c>
      <c r="R47">
        <v>11.6283462097095</v>
      </c>
      <c r="S47">
        <v>0.20474846229624899</v>
      </c>
      <c r="T47">
        <v>1.79490097571899</v>
      </c>
      <c r="V47">
        <f t="shared" si="2"/>
        <v>2.2816776767463245</v>
      </c>
      <c r="W47">
        <f t="shared" si="3"/>
        <v>0.39363070374258519</v>
      </c>
    </row>
    <row r="48" spans="1:23" x14ac:dyDescent="0.25">
      <c r="A48" t="s">
        <v>94</v>
      </c>
      <c r="B48">
        <v>3455266</v>
      </c>
      <c r="C48">
        <v>29</v>
      </c>
      <c r="D48">
        <v>12.2810516357421</v>
      </c>
      <c r="E48">
        <v>0.94278709539481298</v>
      </c>
      <c r="F48">
        <v>4.6298115666809601</v>
      </c>
      <c r="G48">
        <v>1.21959471737962</v>
      </c>
      <c r="H48">
        <v>57.326141595840397</v>
      </c>
      <c r="I48">
        <v>15</v>
      </c>
      <c r="J48">
        <v>0.1</v>
      </c>
      <c r="K48">
        <v>1</v>
      </c>
      <c r="M48">
        <v>84.354430379746802</v>
      </c>
      <c r="N48">
        <v>82</v>
      </c>
      <c r="O48">
        <v>49</v>
      </c>
      <c r="P48">
        <v>121</v>
      </c>
      <c r="Q48">
        <v>6664</v>
      </c>
      <c r="R48">
        <v>18.1461573064901</v>
      </c>
      <c r="S48">
        <v>0.323997257125196</v>
      </c>
      <c r="T48">
        <v>2.2751365613113199</v>
      </c>
      <c r="V48">
        <f t="shared" si="2"/>
        <v>2.4952547956142972</v>
      </c>
      <c r="W48">
        <f t="shared" si="3"/>
        <v>0.27590625650687789</v>
      </c>
    </row>
    <row r="49" spans="1:23" x14ac:dyDescent="0.25">
      <c r="A49" t="s">
        <v>95</v>
      </c>
      <c r="B49">
        <v>3455300</v>
      </c>
      <c r="C49">
        <v>29</v>
      </c>
      <c r="D49">
        <v>11.9297485351562</v>
      </c>
      <c r="E49">
        <v>0.96907545331438005</v>
      </c>
      <c r="F49">
        <v>4.5920015622891102</v>
      </c>
      <c r="G49">
        <v>1.2296877920972</v>
      </c>
      <c r="H49">
        <v>61.147884368896399</v>
      </c>
      <c r="I49">
        <v>16</v>
      </c>
      <c r="J49">
        <v>0.1</v>
      </c>
      <c r="K49">
        <v>1</v>
      </c>
      <c r="M49">
        <v>93.037974683544306</v>
      </c>
      <c r="N49">
        <v>90</v>
      </c>
      <c r="O49">
        <v>49</v>
      </c>
      <c r="P49">
        <v>126</v>
      </c>
      <c r="Q49">
        <v>7350</v>
      </c>
      <c r="R49">
        <v>19.201657939885699</v>
      </c>
      <c r="S49">
        <v>0.27880729712768498</v>
      </c>
      <c r="T49">
        <v>2.1127618441129901</v>
      </c>
      <c r="V49">
        <f t="shared" si="2"/>
        <v>2.4671972841060392</v>
      </c>
      <c r="W49">
        <f t="shared" si="3"/>
        <v>4.7143868651963919E-2</v>
      </c>
    </row>
    <row r="50" spans="1:23" x14ac:dyDescent="0.25">
      <c r="A50" t="s">
        <v>96</v>
      </c>
      <c r="B50">
        <v>3455289</v>
      </c>
      <c r="C50">
        <v>29</v>
      </c>
      <c r="D50">
        <v>6.3209533691406197</v>
      </c>
      <c r="E50">
        <v>1.2356584729686699</v>
      </c>
      <c r="F50">
        <v>4.7915825424800298</v>
      </c>
      <c r="G50">
        <v>1.4217006021237599</v>
      </c>
      <c r="H50">
        <v>64.9696271419525</v>
      </c>
      <c r="I50">
        <v>17</v>
      </c>
      <c r="J50">
        <v>0.1</v>
      </c>
      <c r="K50">
        <v>1</v>
      </c>
      <c r="M50">
        <v>53.481012658227797</v>
      </c>
      <c r="N50">
        <v>55</v>
      </c>
      <c r="O50">
        <v>26</v>
      </c>
      <c r="P50">
        <v>70</v>
      </c>
      <c r="Q50">
        <v>4225</v>
      </c>
      <c r="R50">
        <v>10.2154492847638</v>
      </c>
      <c r="S50">
        <v>0.25149906302132902</v>
      </c>
      <c r="T50">
        <v>2.1041562586166398</v>
      </c>
      <c r="V50">
        <f t="shared" si="2"/>
        <v>2.4350953289133246</v>
      </c>
      <c r="W50">
        <f t="shared" si="3"/>
        <v>0.38440602653478723</v>
      </c>
    </row>
    <row r="51" spans="1:23" x14ac:dyDescent="0.25">
      <c r="A51" t="s">
        <v>97</v>
      </c>
      <c r="B51">
        <v>3455318</v>
      </c>
      <c r="C51">
        <v>29</v>
      </c>
      <c r="D51">
        <v>5.16632080078125</v>
      </c>
      <c r="E51">
        <v>0.99812638363416195</v>
      </c>
      <c r="F51">
        <v>4.7428686467779997</v>
      </c>
      <c r="G51">
        <v>1.39249641412868</v>
      </c>
      <c r="H51">
        <v>68.791369915008502</v>
      </c>
      <c r="I51">
        <v>18</v>
      </c>
      <c r="J51">
        <v>0.1</v>
      </c>
      <c r="K51">
        <v>1</v>
      </c>
      <c r="M51">
        <v>45.886075949366997</v>
      </c>
      <c r="N51">
        <v>46</v>
      </c>
      <c r="O51">
        <v>29</v>
      </c>
      <c r="P51">
        <v>60</v>
      </c>
      <c r="Q51">
        <v>3625</v>
      </c>
      <c r="R51">
        <v>8.0574656284176598</v>
      </c>
      <c r="S51">
        <v>0.24357249312938101</v>
      </c>
      <c r="T51">
        <v>2.2308459839853998</v>
      </c>
      <c r="V51">
        <f t="shared" si="2"/>
        <v>2.467006755637617</v>
      </c>
      <c r="W51">
        <f t="shared" si="3"/>
        <v>0.2442282164176304</v>
      </c>
    </row>
    <row r="52" spans="1:23" x14ac:dyDescent="0.25">
      <c r="A52" t="s">
        <v>98</v>
      </c>
      <c r="B52">
        <v>3455328</v>
      </c>
      <c r="C52">
        <v>29</v>
      </c>
      <c r="D52">
        <v>15.380271911621</v>
      </c>
      <c r="E52">
        <v>1.09603973722993</v>
      </c>
      <c r="F52">
        <v>4.9177643203503498</v>
      </c>
      <c r="G52">
        <v>1.5014184126075301</v>
      </c>
      <c r="H52">
        <v>72.613112688064504</v>
      </c>
      <c r="I52">
        <v>19</v>
      </c>
      <c r="J52">
        <v>0.1</v>
      </c>
      <c r="K52">
        <v>1</v>
      </c>
      <c r="M52">
        <v>98.253164556962005</v>
      </c>
      <c r="N52">
        <v>95</v>
      </c>
      <c r="O52">
        <v>57</v>
      </c>
      <c r="P52">
        <v>146</v>
      </c>
      <c r="Q52">
        <v>7762</v>
      </c>
      <c r="R52">
        <v>22.674094760111601</v>
      </c>
      <c r="S52">
        <v>0.34685269485495102</v>
      </c>
      <c r="T52">
        <v>2.2318836923874001</v>
      </c>
      <c r="V52">
        <f t="shared" si="2"/>
        <v>2.3983685381167308</v>
      </c>
      <c r="W52">
        <f t="shared" si="3"/>
        <v>0.22812172890656993</v>
      </c>
    </row>
    <row r="56" spans="1:23" x14ac:dyDescent="0.25">
      <c r="E56">
        <v>1.3033223147675199</v>
      </c>
      <c r="F56">
        <v>2.7118264652092101</v>
      </c>
      <c r="G56">
        <v>2.1807755783597602</v>
      </c>
      <c r="H56">
        <v>0</v>
      </c>
      <c r="I56">
        <v>0</v>
      </c>
    </row>
    <row r="57" spans="1:23" x14ac:dyDescent="0.25">
      <c r="E57">
        <v>1.2171582340609399</v>
      </c>
      <c r="F57">
        <v>2.7509990339414099</v>
      </c>
      <c r="G57">
        <v>2.2107623575392901</v>
      </c>
      <c r="H57">
        <v>3.8217427730560298</v>
      </c>
      <c r="I57">
        <v>1</v>
      </c>
    </row>
    <row r="58" spans="1:23" x14ac:dyDescent="0.25">
      <c r="E58">
        <v>1.4037221905636199</v>
      </c>
      <c r="F58">
        <v>2.6140639778750301</v>
      </c>
      <c r="G58">
        <v>2.1120143082721898</v>
      </c>
      <c r="H58">
        <v>7.6434855461120597</v>
      </c>
      <c r="I58">
        <v>2</v>
      </c>
    </row>
    <row r="59" spans="1:23" x14ac:dyDescent="0.25">
      <c r="E59">
        <v>1.7043306121303801</v>
      </c>
      <c r="F59">
        <v>2.3570307173045002</v>
      </c>
      <c r="G59">
        <v>1.8905601053887</v>
      </c>
      <c r="H59">
        <v>11.465228319168</v>
      </c>
      <c r="I59">
        <v>3</v>
      </c>
    </row>
    <row r="60" spans="1:23" x14ac:dyDescent="0.25">
      <c r="E60">
        <v>1.7889358111010401</v>
      </c>
      <c r="F60">
        <v>2.3320662095160598</v>
      </c>
      <c r="G60">
        <v>1.7434393404519299</v>
      </c>
      <c r="H60">
        <v>15.2869710922241</v>
      </c>
      <c r="I60">
        <v>4</v>
      </c>
    </row>
    <row r="61" spans="1:23" x14ac:dyDescent="0.25">
      <c r="E61">
        <v>1.61046018709773</v>
      </c>
      <c r="F61">
        <v>2.3313084490323801</v>
      </c>
      <c r="G61">
        <v>1.7290047909108901</v>
      </c>
      <c r="H61">
        <v>19.108713865280102</v>
      </c>
      <c r="I61">
        <v>5</v>
      </c>
    </row>
    <row r="62" spans="1:23" x14ac:dyDescent="0.25">
      <c r="E62">
        <v>1.6112759624534101</v>
      </c>
      <c r="F62">
        <v>2.3983016838550699</v>
      </c>
      <c r="G62">
        <v>1.7540251737038599</v>
      </c>
      <c r="H62">
        <v>22.9304566383361</v>
      </c>
      <c r="I62">
        <v>6</v>
      </c>
    </row>
    <row r="63" spans="1:23" x14ac:dyDescent="0.25">
      <c r="E63">
        <v>1.5454694970839</v>
      </c>
      <c r="F63">
        <v>2.47294225500492</v>
      </c>
      <c r="G63">
        <v>1.63447161776925</v>
      </c>
      <c r="H63">
        <v>26.752199411392201</v>
      </c>
      <c r="I63">
        <v>7</v>
      </c>
    </row>
    <row r="64" spans="1:23" x14ac:dyDescent="0.25">
      <c r="E64">
        <v>1.4907617804811499</v>
      </c>
      <c r="F64">
        <v>2.4459853339039999</v>
      </c>
      <c r="G64">
        <v>1.76706940350673</v>
      </c>
      <c r="H64">
        <v>30.5739421844482</v>
      </c>
      <c r="I64">
        <v>8</v>
      </c>
    </row>
    <row r="65" spans="5:9" x14ac:dyDescent="0.25">
      <c r="E65">
        <v>1.5020173176334399</v>
      </c>
      <c r="F65">
        <v>2.4043096910916102</v>
      </c>
      <c r="G65">
        <v>1.7014179308850601</v>
      </c>
      <c r="H65">
        <v>34.395684957504201</v>
      </c>
      <c r="I65">
        <v>9</v>
      </c>
    </row>
    <row r="66" spans="5:9" x14ac:dyDescent="0.25">
      <c r="E66">
        <v>1.63725267545672</v>
      </c>
      <c r="F66">
        <v>2.29284464954074</v>
      </c>
      <c r="G66">
        <v>1.80253231606493</v>
      </c>
      <c r="H66">
        <v>38.217427730560303</v>
      </c>
      <c r="I66">
        <v>10</v>
      </c>
    </row>
    <row r="67" spans="5:9" x14ac:dyDescent="0.25">
      <c r="E67">
        <v>1.69562437508085</v>
      </c>
      <c r="F67">
        <v>2.26188888392916</v>
      </c>
      <c r="G67">
        <v>1.8010760655949101</v>
      </c>
      <c r="H67">
        <v>42.039170503616297</v>
      </c>
      <c r="I67">
        <v>11</v>
      </c>
    </row>
    <row r="68" spans="5:9" x14ac:dyDescent="0.25">
      <c r="E68">
        <v>1.7306730907574699</v>
      </c>
      <c r="F68">
        <v>2.2849429599345599</v>
      </c>
      <c r="G68">
        <v>2.0064548973383598</v>
      </c>
      <c r="H68">
        <v>45.860913276672299</v>
      </c>
      <c r="I68">
        <v>12</v>
      </c>
    </row>
    <row r="69" spans="5:9" x14ac:dyDescent="0.25">
      <c r="E69">
        <v>1.70310720484445</v>
      </c>
      <c r="F69">
        <v>2.2882410208075199</v>
      </c>
      <c r="G69">
        <v>1.98964251074884</v>
      </c>
      <c r="H69">
        <v>49.682656049728301</v>
      </c>
      <c r="I69">
        <v>13</v>
      </c>
    </row>
    <row r="70" spans="5:9" x14ac:dyDescent="0.25">
      <c r="E70">
        <v>1.52654623192843</v>
      </c>
      <c r="F70">
        <v>2.3287021774342498</v>
      </c>
      <c r="G70">
        <v>1.9422028163276299</v>
      </c>
      <c r="H70">
        <v>53.504398822784403</v>
      </c>
      <c r="I70">
        <v>14</v>
      </c>
    </row>
    <row r="71" spans="5:9" x14ac:dyDescent="0.25">
      <c r="E71">
        <v>1.5625969498238099</v>
      </c>
      <c r="F71">
        <v>2.33701036006625</v>
      </c>
      <c r="G71">
        <v>1.9845750219201901</v>
      </c>
      <c r="H71">
        <v>57.326141595840397</v>
      </c>
      <c r="I71">
        <v>15</v>
      </c>
    </row>
    <row r="72" spans="5:9" x14ac:dyDescent="0.25">
      <c r="E72">
        <v>1.62824357592139</v>
      </c>
      <c r="F72">
        <v>2.31594674600835</v>
      </c>
      <c r="G72">
        <v>1.91680808587706</v>
      </c>
      <c r="H72">
        <v>61.147884368896399</v>
      </c>
      <c r="I72">
        <v>16</v>
      </c>
    </row>
    <row r="73" spans="5:9" x14ac:dyDescent="0.25">
      <c r="E73">
        <v>1.5325819123744999</v>
      </c>
      <c r="F73">
        <v>2.4113886575361101</v>
      </c>
      <c r="G73">
        <v>1.8414657770757501</v>
      </c>
      <c r="H73">
        <v>64.9696271419525</v>
      </c>
      <c r="I73">
        <v>17</v>
      </c>
    </row>
    <row r="74" spans="5:9" x14ac:dyDescent="0.25">
      <c r="E74">
        <v>1.57991104447829</v>
      </c>
      <c r="F74">
        <v>2.3865812017108801</v>
      </c>
      <c r="G74">
        <v>1.83471628815877</v>
      </c>
      <c r="H74">
        <v>68.791369915008502</v>
      </c>
      <c r="I74">
        <v>18</v>
      </c>
    </row>
    <row r="75" spans="5:9" x14ac:dyDescent="0.25">
      <c r="E75">
        <v>1.3764615547369199</v>
      </c>
      <c r="F75">
        <v>2.54881465163044</v>
      </c>
      <c r="G75">
        <v>1.74963750124918</v>
      </c>
      <c r="H75">
        <v>72.613112688064504</v>
      </c>
      <c r="I75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240627_WT_6_Cell 3_Kar9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2024-12-11T01:02:01Z</dcterms:created>
  <dcterms:modified xsi:type="dcterms:W3CDTF">2024-12-11T01:10:19Z</dcterms:modified>
</cp:coreProperties>
</file>