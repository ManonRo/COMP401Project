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Elyra\STACKS\240627_WT\ROI\Anaphase\"/>
    </mc:Choice>
  </mc:AlternateContent>
  <xr:revisionPtr revIDLastSave="0" documentId="13_ncr:1_{5723D2DA-359E-45DF-A033-5858E54F8185}" xr6:coauthVersionLast="45" xr6:coauthVersionMax="45" xr10:uidLastSave="{00000000-0000-0000-0000-000000000000}"/>
  <bookViews>
    <workbookView xWindow="1560" yWindow="180" windowWidth="26685" windowHeight="14565" xr2:uid="{00000000-000D-0000-FFFF-FFFF00000000}"/>
  </bookViews>
  <sheets>
    <sheet name="240627_WT_11_Cell 3_SPB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Z6" i="1" l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5" i="1"/>
</calcChain>
</file>

<file path=xl/sharedStrings.xml><?xml version="1.0" encoding="utf-8"?>
<sst xmlns="http://schemas.openxmlformats.org/spreadsheetml/2006/main" count="46" uniqueCount="33">
  <si>
    <t>TRACK_ID</t>
  </si>
  <si>
    <t>POSITION_X</t>
  </si>
  <si>
    <t>POSITION_Y</t>
  </si>
  <si>
    <t>POSITION_Z</t>
  </si>
  <si>
    <t>POSITION_T</t>
  </si>
  <si>
    <t>FRAME</t>
  </si>
  <si>
    <t>MEAN_INTENSITY_CH1</t>
  </si>
  <si>
    <t>MEDIAN_INTENSITY_CH1</t>
  </si>
  <si>
    <t>MIN_INTENSITY_CH1</t>
  </si>
  <si>
    <t>MAX_INTENSITY_CH1</t>
  </si>
  <si>
    <t>TOTAL_INTENSITY_CH1</t>
  </si>
  <si>
    <t>STD_INTENSITY_CH1</t>
  </si>
  <si>
    <t>Track ID</t>
  </si>
  <si>
    <t>X</t>
  </si>
  <si>
    <t>Y</t>
  </si>
  <si>
    <t>Z</t>
  </si>
  <si>
    <t>T</t>
  </si>
  <si>
    <t>Frame</t>
  </si>
  <si>
    <t>Mean intensity ch1</t>
  </si>
  <si>
    <t>Median intensity ch1</t>
  </si>
  <si>
    <t>Min intensity ch1</t>
  </si>
  <si>
    <t>Max intensity ch1</t>
  </si>
  <si>
    <t>Sum intensity ch1</t>
  </si>
  <si>
    <t>Std intensity ch1</t>
  </si>
  <si>
    <t>Mean ch1</t>
  </si>
  <si>
    <t>Median ch1</t>
  </si>
  <si>
    <t>Min ch1</t>
  </si>
  <si>
    <t>Max ch1</t>
  </si>
  <si>
    <t>Sum ch1</t>
  </si>
  <si>
    <t>Std ch1</t>
  </si>
  <si>
    <t>(micron)</t>
  </si>
  <si>
    <t>(sec)</t>
  </si>
  <si>
    <t>(counts)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</si>
</sst>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'240627_WT_11_Cell 3_SPB'!$Y$5:$Y$24</c:f>
              <c:numCache>
                <c:formatCode>General</c:formatCode>
                <c:ptCount val="20"/>
                <c:pt idx="0">
                  <c:v>0</c:v>
                </c:pt>
                <c:pt idx="1">
                  <c:v>6.3709414005279491E-2</c:v>
                </c:pt>
                <c:pt idx="2">
                  <c:v>0.12741882801055898</c:v>
                </c:pt>
                <c:pt idx="3">
                  <c:v>0.19112824201583833</c:v>
                </c:pt>
                <c:pt idx="4">
                  <c:v>0.25483765602111663</c:v>
                </c:pt>
                <c:pt idx="5">
                  <c:v>0.31854707002639665</c:v>
                </c:pt>
                <c:pt idx="6">
                  <c:v>0.38225648403167667</c:v>
                </c:pt>
                <c:pt idx="7">
                  <c:v>0.44596589803695669</c:v>
                </c:pt>
                <c:pt idx="8">
                  <c:v>0.50967531204223504</c:v>
                </c:pt>
                <c:pt idx="9">
                  <c:v>0.573384726047515</c:v>
                </c:pt>
                <c:pt idx="10">
                  <c:v>0.63709414005279508</c:v>
                </c:pt>
                <c:pt idx="11">
                  <c:v>0.70080355405807493</c:v>
                </c:pt>
                <c:pt idx="12">
                  <c:v>0.76451296806335334</c:v>
                </c:pt>
                <c:pt idx="13">
                  <c:v>0.8282223820686333</c:v>
                </c:pt>
                <c:pt idx="14">
                  <c:v>0.89193179607391337</c:v>
                </c:pt>
                <c:pt idx="15">
                  <c:v>0.95564121007919167</c:v>
                </c:pt>
                <c:pt idx="16">
                  <c:v>1.0193506240844716</c:v>
                </c:pt>
                <c:pt idx="17">
                  <c:v>1.0830600380897517</c:v>
                </c:pt>
                <c:pt idx="18">
                  <c:v>1.1467694520950318</c:v>
                </c:pt>
                <c:pt idx="19">
                  <c:v>1.2104788661003101</c:v>
                </c:pt>
              </c:numCache>
            </c:numRef>
          </c:xVal>
          <c:yVal>
            <c:numRef>
              <c:f>'240627_WT_11_Cell 3_SPB'!$Z$5:$Z$24</c:f>
              <c:numCache>
                <c:formatCode>General</c:formatCode>
                <c:ptCount val="20"/>
                <c:pt idx="0">
                  <c:v>5.0921747032971103</c:v>
                </c:pt>
                <c:pt idx="1">
                  <c:v>5.1114431684422188</c:v>
                </c:pt>
                <c:pt idx="2">
                  <c:v>5.1041027076439471</c:v>
                </c:pt>
                <c:pt idx="3">
                  <c:v>5.1239037060654038</c:v>
                </c:pt>
                <c:pt idx="4">
                  <c:v>5.1474261168205917</c:v>
                </c:pt>
                <c:pt idx="5">
                  <c:v>5.1550452453755149</c:v>
                </c:pt>
                <c:pt idx="6">
                  <c:v>5.1737336490641583</c:v>
                </c:pt>
                <c:pt idx="7">
                  <c:v>5.1960192527783251</c:v>
                </c:pt>
                <c:pt idx="8">
                  <c:v>5.1900985074428601</c:v>
                </c:pt>
                <c:pt idx="9">
                  <c:v>5.206983661751087</c:v>
                </c:pt>
                <c:pt idx="10">
                  <c:v>5.2302010149733098</c:v>
                </c:pt>
                <c:pt idx="11">
                  <c:v>5.2293591329768052</c:v>
                </c:pt>
                <c:pt idx="12">
                  <c:v>5.2518418063674455</c:v>
                </c:pt>
                <c:pt idx="13">
                  <c:v>5.2887330267671198</c:v>
                </c:pt>
                <c:pt idx="14">
                  <c:v>5.3274776325339532</c:v>
                </c:pt>
                <c:pt idx="15">
                  <c:v>5.3271427252465431</c:v>
                </c:pt>
                <c:pt idx="16">
                  <c:v>5.351722600271847</c:v>
                </c:pt>
                <c:pt idx="17">
                  <c:v>5.3386814699810055</c:v>
                </c:pt>
                <c:pt idx="18">
                  <c:v>5.3912871674901783</c:v>
                </c:pt>
                <c:pt idx="19">
                  <c:v>5.4051395808703813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C06-49BD-8013-502665D9AD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0722152"/>
        <c:axId val="602474664"/>
      </c:scatterChart>
      <c:valAx>
        <c:axId val="5107221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2474664"/>
        <c:crosses val="autoZero"/>
        <c:crossBetween val="midCat"/>
      </c:valAx>
      <c:valAx>
        <c:axId val="602474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07221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461962</xdr:colOff>
      <xdr:row>9</xdr:row>
      <xdr:rowOff>19050</xdr:rowOff>
    </xdr:from>
    <xdr:to>
      <xdr:col>17</xdr:col>
      <xdr:colOff>157162</xdr:colOff>
      <xdr:row>23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AD5975E-1167-48A8-B7FF-9629E3A598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4"/>
  <sheetViews>
    <sheetView tabSelected="1" topLeftCell="E1" workbookViewId="0">
      <selection activeCell="Z5" sqref="Z5"/>
    </sheetView>
  </sheetViews>
  <sheetFormatPr defaultRowHeight="15" x14ac:dyDescent="0.25"/>
  <sheetData>
    <row r="1" spans="1:2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26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</row>
    <row r="3" spans="1:26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29</v>
      </c>
    </row>
    <row r="4" spans="1:26" x14ac:dyDescent="0.25">
      <c r="B4" t="s">
        <v>30</v>
      </c>
      <c r="C4" t="s">
        <v>30</v>
      </c>
      <c r="D4" t="s">
        <v>30</v>
      </c>
      <c r="E4" t="s">
        <v>31</v>
      </c>
      <c r="G4" t="s">
        <v>32</v>
      </c>
      <c r="H4" t="s">
        <v>32</v>
      </c>
      <c r="I4" t="s">
        <v>32</v>
      </c>
      <c r="J4" t="s">
        <v>32</v>
      </c>
      <c r="K4" t="s">
        <v>32</v>
      </c>
      <c r="L4" t="s">
        <v>32</v>
      </c>
    </row>
    <row r="5" spans="1:26" x14ac:dyDescent="0.25">
      <c r="A5">
        <v>0</v>
      </c>
      <c r="B5">
        <v>5.4273370375629897</v>
      </c>
      <c r="C5">
        <v>6.6669503279533799</v>
      </c>
      <c r="D5">
        <v>2.0319881969928799</v>
      </c>
      <c r="E5">
        <v>0</v>
      </c>
      <c r="F5">
        <v>0</v>
      </c>
      <c r="G5">
        <v>152.46666666666599</v>
      </c>
      <c r="H5">
        <v>145</v>
      </c>
      <c r="I5">
        <v>46</v>
      </c>
      <c r="J5">
        <v>282</v>
      </c>
      <c r="K5">
        <v>20583</v>
      </c>
      <c r="L5">
        <v>62.042089709505902</v>
      </c>
      <c r="M5">
        <v>1</v>
      </c>
      <c r="N5">
        <v>3.7101906484807299</v>
      </c>
      <c r="O5">
        <v>1.8777958643922299</v>
      </c>
      <c r="P5">
        <v>1.8183272236891901</v>
      </c>
      <c r="Q5">
        <v>0</v>
      </c>
      <c r="R5">
        <v>0</v>
      </c>
      <c r="S5">
        <v>119.41481481481399</v>
      </c>
      <c r="T5">
        <v>116</v>
      </c>
      <c r="U5">
        <v>38</v>
      </c>
      <c r="V5">
        <v>220</v>
      </c>
      <c r="W5">
        <v>16121</v>
      </c>
      <c r="X5">
        <v>48.3310081215728</v>
      </c>
      <c r="Y5">
        <f>E5/60</f>
        <v>0</v>
      </c>
      <c r="Z5">
        <f>SQRT((B5-N5)^2+(C5-O5)^2+(D5-P5)^2)</f>
        <v>5.0921747032971103</v>
      </c>
    </row>
    <row r="6" spans="1:26" x14ac:dyDescent="0.25">
      <c r="A6">
        <v>0</v>
      </c>
      <c r="B6">
        <v>5.3604714098892003</v>
      </c>
      <c r="C6">
        <v>6.5728619701167403</v>
      </c>
      <c r="D6">
        <v>1.83895145940502</v>
      </c>
      <c r="E6">
        <v>3.8225648403167698</v>
      </c>
      <c r="F6">
        <v>1</v>
      </c>
      <c r="G6">
        <v>197.56296296296199</v>
      </c>
      <c r="H6">
        <v>190</v>
      </c>
      <c r="I6">
        <v>66</v>
      </c>
      <c r="J6">
        <v>369</v>
      </c>
      <c r="K6">
        <v>26671</v>
      </c>
      <c r="L6">
        <v>78.817056965908506</v>
      </c>
      <c r="M6">
        <v>1</v>
      </c>
      <c r="N6">
        <v>3.7107670364711001</v>
      </c>
      <c r="O6">
        <v>1.7368137354150499</v>
      </c>
      <c r="P6">
        <v>1.7049208055288301</v>
      </c>
      <c r="Q6">
        <v>3.8225648403167698</v>
      </c>
      <c r="R6">
        <v>1</v>
      </c>
      <c r="S6">
        <v>85.288888888888806</v>
      </c>
      <c r="T6">
        <v>81</v>
      </c>
      <c r="U6">
        <v>23</v>
      </c>
      <c r="V6">
        <v>159</v>
      </c>
      <c r="W6">
        <v>11514</v>
      </c>
      <c r="X6">
        <v>36.102851970419302</v>
      </c>
      <c r="Y6">
        <f t="shared" ref="Y6:Y24" si="0">E6/60</f>
        <v>6.3709414005279491E-2</v>
      </c>
      <c r="Z6">
        <f t="shared" ref="Z6:Z24" si="1">SQRT((B6-N6)^2+(C6-O6)^2+(D6-P6)^2)</f>
        <v>5.1114431684422188</v>
      </c>
    </row>
    <row r="7" spans="1:26" x14ac:dyDescent="0.25">
      <c r="A7">
        <v>0</v>
      </c>
      <c r="B7">
        <v>5.3778021603455004</v>
      </c>
      <c r="C7">
        <v>6.5064488178949702</v>
      </c>
      <c r="D7">
        <v>1.84533736549945</v>
      </c>
      <c r="E7">
        <v>7.6451296806335396</v>
      </c>
      <c r="F7">
        <v>2</v>
      </c>
      <c r="G7">
        <v>171.43703703703699</v>
      </c>
      <c r="H7">
        <v>155</v>
      </c>
      <c r="I7">
        <v>58</v>
      </c>
      <c r="J7">
        <v>321</v>
      </c>
      <c r="K7">
        <v>23144</v>
      </c>
      <c r="L7">
        <v>69.402095478645094</v>
      </c>
      <c r="M7">
        <v>1</v>
      </c>
      <c r="N7">
        <v>3.7072329218379099</v>
      </c>
      <c r="O7">
        <v>1.6854534694871499</v>
      </c>
      <c r="P7">
        <v>1.70725507061481</v>
      </c>
      <c r="Q7">
        <v>7.6451296806335396</v>
      </c>
      <c r="R7">
        <v>2</v>
      </c>
      <c r="S7">
        <v>61.911111111111097</v>
      </c>
      <c r="T7">
        <v>59</v>
      </c>
      <c r="U7">
        <v>19</v>
      </c>
      <c r="V7">
        <v>116</v>
      </c>
      <c r="W7">
        <v>8358</v>
      </c>
      <c r="X7">
        <v>25.292458514573902</v>
      </c>
      <c r="Y7">
        <f t="shared" si="0"/>
        <v>0.12741882801055898</v>
      </c>
      <c r="Z7">
        <f t="shared" si="1"/>
        <v>5.1041027076439471</v>
      </c>
    </row>
    <row r="8" spans="1:26" x14ac:dyDescent="0.25">
      <c r="A8">
        <v>0</v>
      </c>
      <c r="B8">
        <v>5.41205150514525</v>
      </c>
      <c r="C8">
        <v>6.4104935391352997</v>
      </c>
      <c r="D8">
        <v>1.7551093842865899</v>
      </c>
      <c r="E8">
        <v>11.4676945209503</v>
      </c>
      <c r="F8">
        <v>3</v>
      </c>
      <c r="G8">
        <v>203.62962962962899</v>
      </c>
      <c r="H8">
        <v>189</v>
      </c>
      <c r="I8">
        <v>69</v>
      </c>
      <c r="J8">
        <v>372</v>
      </c>
      <c r="K8">
        <v>27490</v>
      </c>
      <c r="L8">
        <v>79.971519253124399</v>
      </c>
      <c r="M8">
        <v>1</v>
      </c>
      <c r="N8">
        <v>3.6380151273841199</v>
      </c>
      <c r="O8">
        <v>1.60350642066451</v>
      </c>
      <c r="P8">
        <v>1.7627880734218599</v>
      </c>
      <c r="Q8">
        <v>11.4676945209503</v>
      </c>
      <c r="R8">
        <v>3</v>
      </c>
      <c r="S8">
        <v>76.096296296296302</v>
      </c>
      <c r="T8">
        <v>71</v>
      </c>
      <c r="U8">
        <v>26</v>
      </c>
      <c r="V8">
        <v>137</v>
      </c>
      <c r="W8">
        <v>10273</v>
      </c>
      <c r="X8">
        <v>29.043167581982701</v>
      </c>
      <c r="Y8">
        <f t="shared" si="0"/>
        <v>0.19112824201583833</v>
      </c>
      <c r="Z8">
        <f t="shared" si="1"/>
        <v>5.1239037060654038</v>
      </c>
    </row>
    <row r="9" spans="1:26" x14ac:dyDescent="0.25">
      <c r="A9">
        <v>0</v>
      </c>
      <c r="B9">
        <v>5.4115711027652296</v>
      </c>
      <c r="C9">
        <v>6.39241073557859</v>
      </c>
      <c r="D9">
        <v>1.74805512936694</v>
      </c>
      <c r="E9">
        <v>15.290259361266999</v>
      </c>
      <c r="F9">
        <v>4</v>
      </c>
      <c r="G9">
        <v>194.962962962962</v>
      </c>
      <c r="H9">
        <v>184</v>
      </c>
      <c r="I9">
        <v>68</v>
      </c>
      <c r="J9">
        <v>350</v>
      </c>
      <c r="K9">
        <v>26320</v>
      </c>
      <c r="L9">
        <v>75.722333246865503</v>
      </c>
      <c r="M9">
        <v>1</v>
      </c>
      <c r="N9">
        <v>3.5025722434980802</v>
      </c>
      <c r="O9">
        <v>1.6120812734722001</v>
      </c>
      <c r="P9">
        <v>1.76106347903441</v>
      </c>
      <c r="Q9">
        <v>15.290259361266999</v>
      </c>
      <c r="R9">
        <v>4</v>
      </c>
      <c r="S9">
        <v>83</v>
      </c>
      <c r="T9">
        <v>82</v>
      </c>
      <c r="U9">
        <v>26</v>
      </c>
      <c r="V9">
        <v>150</v>
      </c>
      <c r="W9">
        <v>11205</v>
      </c>
      <c r="X9">
        <v>32.951117119196198</v>
      </c>
      <c r="Y9">
        <f t="shared" si="0"/>
        <v>0.25483765602111663</v>
      </c>
      <c r="Z9">
        <f t="shared" si="1"/>
        <v>5.1474261168205917</v>
      </c>
    </row>
    <row r="10" spans="1:26" x14ac:dyDescent="0.25">
      <c r="A10">
        <v>0</v>
      </c>
      <c r="B10">
        <v>5.48907654303546</v>
      </c>
      <c r="C10">
        <v>6.3665945975832203</v>
      </c>
      <c r="D10">
        <v>1.7160060086439599</v>
      </c>
      <c r="E10">
        <v>19.112824201583798</v>
      </c>
      <c r="F10">
        <v>5</v>
      </c>
      <c r="G10">
        <v>169.903703703703</v>
      </c>
      <c r="H10">
        <v>162</v>
      </c>
      <c r="I10">
        <v>47</v>
      </c>
      <c r="J10">
        <v>305</v>
      </c>
      <c r="K10">
        <v>22937</v>
      </c>
      <c r="L10">
        <v>67.193291473301301</v>
      </c>
      <c r="M10">
        <v>1</v>
      </c>
      <c r="N10">
        <v>3.4048062430929198</v>
      </c>
      <c r="O10">
        <v>1.65305069301991</v>
      </c>
      <c r="P10">
        <v>1.8291990225635699</v>
      </c>
      <c r="Q10">
        <v>19.112824201583798</v>
      </c>
      <c r="R10">
        <v>5</v>
      </c>
      <c r="S10">
        <v>64.392592592592493</v>
      </c>
      <c r="T10">
        <v>60</v>
      </c>
      <c r="U10">
        <v>22</v>
      </c>
      <c r="V10">
        <v>114</v>
      </c>
      <c r="W10">
        <v>8693</v>
      </c>
      <c r="X10">
        <v>24.021164889140699</v>
      </c>
      <c r="Y10">
        <f t="shared" si="0"/>
        <v>0.31854707002639665</v>
      </c>
      <c r="Z10">
        <f t="shared" si="1"/>
        <v>5.1550452453755149</v>
      </c>
    </row>
    <row r="11" spans="1:26" x14ac:dyDescent="0.25">
      <c r="A11">
        <v>0</v>
      </c>
      <c r="B11">
        <v>5.5601402879380997</v>
      </c>
      <c r="C11">
        <v>6.3242571425515699</v>
      </c>
      <c r="D11">
        <v>1.8356242694632401</v>
      </c>
      <c r="E11">
        <v>22.935389041900599</v>
      </c>
      <c r="F11">
        <v>6</v>
      </c>
      <c r="G11">
        <v>88.918518518518496</v>
      </c>
      <c r="H11">
        <v>86</v>
      </c>
      <c r="I11">
        <v>34</v>
      </c>
      <c r="J11">
        <v>166</v>
      </c>
      <c r="K11">
        <v>12004</v>
      </c>
      <c r="L11">
        <v>33.624806907696502</v>
      </c>
      <c r="M11">
        <v>1</v>
      </c>
      <c r="N11">
        <v>3.3769921423663698</v>
      </c>
      <c r="O11">
        <v>1.63890171624545</v>
      </c>
      <c r="P11">
        <v>2.0565961571079101</v>
      </c>
      <c r="Q11">
        <v>22.935389041900599</v>
      </c>
      <c r="R11">
        <v>6</v>
      </c>
      <c r="S11">
        <v>17.288888888888799</v>
      </c>
      <c r="T11">
        <v>16</v>
      </c>
      <c r="U11">
        <v>7</v>
      </c>
      <c r="V11">
        <v>33</v>
      </c>
      <c r="W11">
        <v>2334</v>
      </c>
      <c r="X11">
        <v>6.67012348189159</v>
      </c>
      <c r="Y11">
        <f t="shared" si="0"/>
        <v>0.38225648403167667</v>
      </c>
      <c r="Z11">
        <f t="shared" si="1"/>
        <v>5.1737336490641583</v>
      </c>
    </row>
    <row r="12" spans="1:26" x14ac:dyDescent="0.25">
      <c r="A12">
        <v>0</v>
      </c>
      <c r="B12">
        <v>5.6077074447278799</v>
      </c>
      <c r="C12">
        <v>6.3312326434685096</v>
      </c>
      <c r="D12">
        <v>1.69182623122293</v>
      </c>
      <c r="E12">
        <v>26.7579538822174</v>
      </c>
      <c r="F12">
        <v>7</v>
      </c>
      <c r="G12">
        <v>89.570370370370298</v>
      </c>
      <c r="H12">
        <v>85</v>
      </c>
      <c r="I12">
        <v>29</v>
      </c>
      <c r="J12">
        <v>171</v>
      </c>
      <c r="K12">
        <v>12092</v>
      </c>
      <c r="L12">
        <v>35.3965890802845</v>
      </c>
      <c r="M12">
        <v>1</v>
      </c>
      <c r="N12">
        <v>3.42256161372819</v>
      </c>
      <c r="O12">
        <v>1.6272770711601201</v>
      </c>
      <c r="P12">
        <v>2.00256043638315</v>
      </c>
      <c r="Q12">
        <v>26.7579538822174</v>
      </c>
      <c r="R12">
        <v>7</v>
      </c>
      <c r="S12">
        <v>22.6</v>
      </c>
      <c r="T12">
        <v>22</v>
      </c>
      <c r="U12">
        <v>8</v>
      </c>
      <c r="V12">
        <v>43</v>
      </c>
      <c r="W12">
        <v>3051</v>
      </c>
      <c r="X12">
        <v>8.7111183030396404</v>
      </c>
      <c r="Y12">
        <f t="shared" si="0"/>
        <v>0.44596589803695669</v>
      </c>
      <c r="Z12">
        <f t="shared" si="1"/>
        <v>5.1960192527783251</v>
      </c>
    </row>
    <row r="13" spans="1:26" x14ac:dyDescent="0.25">
      <c r="A13">
        <v>0</v>
      </c>
      <c r="B13">
        <v>5.3584248989625296</v>
      </c>
      <c r="C13">
        <v>6.44166701720125</v>
      </c>
      <c r="D13">
        <v>1.5648426771986801</v>
      </c>
      <c r="E13">
        <v>30.580518722534102</v>
      </c>
      <c r="F13">
        <v>8</v>
      </c>
      <c r="G13">
        <v>119.029629629629</v>
      </c>
      <c r="H13">
        <v>111</v>
      </c>
      <c r="I13">
        <v>44</v>
      </c>
      <c r="J13">
        <v>224</v>
      </c>
      <c r="K13">
        <v>16069</v>
      </c>
      <c r="L13">
        <v>46.089131807372098</v>
      </c>
      <c r="M13">
        <v>1</v>
      </c>
      <c r="N13">
        <v>3.54285685441317</v>
      </c>
      <c r="O13">
        <v>1.59787851834133</v>
      </c>
      <c r="P13">
        <v>1.9873922848001799</v>
      </c>
      <c r="Q13">
        <v>30.580518722534102</v>
      </c>
      <c r="R13">
        <v>8</v>
      </c>
      <c r="S13">
        <v>22.8</v>
      </c>
      <c r="T13">
        <v>21</v>
      </c>
      <c r="U13">
        <v>9</v>
      </c>
      <c r="V13">
        <v>44</v>
      </c>
      <c r="W13">
        <v>3078</v>
      </c>
      <c r="X13">
        <v>8.66955558433364</v>
      </c>
      <c r="Y13">
        <f t="shared" si="0"/>
        <v>0.50967531204223504</v>
      </c>
      <c r="Z13">
        <f t="shared" si="1"/>
        <v>5.1900985074428601</v>
      </c>
    </row>
    <row r="14" spans="1:26" x14ac:dyDescent="0.25">
      <c r="A14">
        <v>0</v>
      </c>
      <c r="B14">
        <v>5.4629585484694196</v>
      </c>
      <c r="C14">
        <v>6.4960003202671102</v>
      </c>
      <c r="D14">
        <v>1.5332988191699799</v>
      </c>
      <c r="E14">
        <v>34.403083562850902</v>
      </c>
      <c r="F14">
        <v>9</v>
      </c>
      <c r="G14">
        <v>192.22962962962899</v>
      </c>
      <c r="H14">
        <v>189</v>
      </c>
      <c r="I14">
        <v>49</v>
      </c>
      <c r="J14">
        <v>351</v>
      </c>
      <c r="K14">
        <v>25951</v>
      </c>
      <c r="L14">
        <v>79.421879456664598</v>
      </c>
      <c r="M14">
        <v>1</v>
      </c>
      <c r="N14">
        <v>3.5492367652401802</v>
      </c>
      <c r="O14">
        <v>1.6779848983349901</v>
      </c>
      <c r="P14">
        <v>2.0202024894795301</v>
      </c>
      <c r="Q14">
        <v>34.403083562850902</v>
      </c>
      <c r="R14">
        <v>9</v>
      </c>
      <c r="S14">
        <v>41.266666666666602</v>
      </c>
      <c r="T14">
        <v>39</v>
      </c>
      <c r="U14">
        <v>12</v>
      </c>
      <c r="V14">
        <v>76</v>
      </c>
      <c r="W14">
        <v>5571</v>
      </c>
      <c r="X14">
        <v>16.157896272111</v>
      </c>
      <c r="Y14">
        <f t="shared" si="0"/>
        <v>0.573384726047515</v>
      </c>
      <c r="Z14">
        <f t="shared" si="1"/>
        <v>5.206983661751087</v>
      </c>
    </row>
    <row r="15" spans="1:26" x14ac:dyDescent="0.25">
      <c r="A15">
        <v>0</v>
      </c>
      <c r="B15">
        <v>5.5622774481315602</v>
      </c>
      <c r="C15">
        <v>6.5911833600560001</v>
      </c>
      <c r="D15">
        <v>1.49388039569797</v>
      </c>
      <c r="E15">
        <v>38.225648403167703</v>
      </c>
      <c r="F15">
        <v>10</v>
      </c>
      <c r="G15">
        <v>221.24444444444401</v>
      </c>
      <c r="H15">
        <v>208</v>
      </c>
      <c r="I15">
        <v>60</v>
      </c>
      <c r="J15">
        <v>418</v>
      </c>
      <c r="K15">
        <v>29868</v>
      </c>
      <c r="L15">
        <v>93.129220662977303</v>
      </c>
      <c r="M15">
        <v>1</v>
      </c>
      <c r="N15">
        <v>3.6061255223276101</v>
      </c>
      <c r="O15">
        <v>1.7723978385499399</v>
      </c>
      <c r="P15">
        <v>2.0486581871829102</v>
      </c>
      <c r="Q15">
        <v>38.225648403167703</v>
      </c>
      <c r="R15">
        <v>10</v>
      </c>
      <c r="S15">
        <v>45.429629629629602</v>
      </c>
      <c r="T15">
        <v>43</v>
      </c>
      <c r="U15">
        <v>18</v>
      </c>
      <c r="V15">
        <v>82</v>
      </c>
      <c r="W15">
        <v>6133</v>
      </c>
      <c r="X15">
        <v>17.013401539708401</v>
      </c>
      <c r="Y15">
        <f t="shared" si="0"/>
        <v>0.63709414005279508</v>
      </c>
      <c r="Z15">
        <f t="shared" si="1"/>
        <v>5.2302010149733098</v>
      </c>
    </row>
    <row r="16" spans="1:26" x14ac:dyDescent="0.25">
      <c r="A16">
        <v>0</v>
      </c>
      <c r="B16">
        <v>5.5082647588750504</v>
      </c>
      <c r="C16">
        <v>6.61669805263762</v>
      </c>
      <c r="D16">
        <v>1.5527233938829299</v>
      </c>
      <c r="E16">
        <v>42.048213243484497</v>
      </c>
      <c r="F16">
        <v>11</v>
      </c>
      <c r="G16">
        <v>140.65925925925899</v>
      </c>
      <c r="H16">
        <v>139</v>
      </c>
      <c r="I16">
        <v>47</v>
      </c>
      <c r="J16">
        <v>263</v>
      </c>
      <c r="K16">
        <v>18989</v>
      </c>
      <c r="L16">
        <v>57.638239141974999</v>
      </c>
      <c r="M16">
        <v>1</v>
      </c>
      <c r="N16">
        <v>3.6443244560265202</v>
      </c>
      <c r="O16">
        <v>1.75376556566026</v>
      </c>
      <c r="P16">
        <v>2.0258101894765499</v>
      </c>
      <c r="Q16">
        <v>42.048213243484497</v>
      </c>
      <c r="R16">
        <v>11</v>
      </c>
      <c r="S16">
        <v>49.1703703703703</v>
      </c>
      <c r="T16">
        <v>47</v>
      </c>
      <c r="U16">
        <v>16</v>
      </c>
      <c r="V16">
        <v>86</v>
      </c>
      <c r="W16">
        <v>6638</v>
      </c>
      <c r="X16">
        <v>18.176391420897598</v>
      </c>
      <c r="Y16">
        <f t="shared" si="0"/>
        <v>0.70080355405807493</v>
      </c>
      <c r="Z16">
        <f t="shared" si="1"/>
        <v>5.2293591329768052</v>
      </c>
    </row>
    <row r="17" spans="1:26" x14ac:dyDescent="0.25">
      <c r="A17">
        <v>0</v>
      </c>
      <c r="B17">
        <v>5.4825754885182798</v>
      </c>
      <c r="C17">
        <v>6.6107553164263804</v>
      </c>
      <c r="D17">
        <v>1.6421713012932599</v>
      </c>
      <c r="E17">
        <v>45.870778083801198</v>
      </c>
      <c r="F17">
        <v>12</v>
      </c>
      <c r="G17">
        <v>62.762962962962902</v>
      </c>
      <c r="H17">
        <v>59</v>
      </c>
      <c r="I17">
        <v>23</v>
      </c>
      <c r="J17">
        <v>112</v>
      </c>
      <c r="K17">
        <v>8473</v>
      </c>
      <c r="L17">
        <v>22.889809831897001</v>
      </c>
      <c r="M17">
        <v>1</v>
      </c>
      <c r="N17">
        <v>3.5510712429784999</v>
      </c>
      <c r="O17">
        <v>1.7547384823351</v>
      </c>
      <c r="P17">
        <v>2.1620118687683099</v>
      </c>
      <c r="Q17">
        <v>45.870778083801198</v>
      </c>
      <c r="R17">
        <v>12</v>
      </c>
      <c r="S17">
        <v>16.0592592592592</v>
      </c>
      <c r="T17">
        <v>16</v>
      </c>
      <c r="U17">
        <v>5</v>
      </c>
      <c r="V17">
        <v>29</v>
      </c>
      <c r="W17">
        <v>2168</v>
      </c>
      <c r="X17">
        <v>6.0034355375216997</v>
      </c>
      <c r="Y17">
        <f t="shared" si="0"/>
        <v>0.76451296806335334</v>
      </c>
      <c r="Z17">
        <f t="shared" si="1"/>
        <v>5.2518418063674455</v>
      </c>
    </row>
    <row r="18" spans="1:26" x14ac:dyDescent="0.25">
      <c r="A18">
        <v>0</v>
      </c>
      <c r="B18">
        <v>5.5724805653718397</v>
      </c>
      <c r="C18">
        <v>6.5793522135450102</v>
      </c>
      <c r="D18">
        <v>1.6949511384036799</v>
      </c>
      <c r="E18">
        <v>49.693342924117999</v>
      </c>
      <c r="F18">
        <v>13</v>
      </c>
      <c r="G18">
        <v>63.977777777777703</v>
      </c>
      <c r="H18">
        <v>61</v>
      </c>
      <c r="I18">
        <v>23</v>
      </c>
      <c r="J18">
        <v>118</v>
      </c>
      <c r="K18">
        <v>8637</v>
      </c>
      <c r="L18">
        <v>23.447453690691301</v>
      </c>
      <c r="M18">
        <v>1</v>
      </c>
      <c r="N18">
        <v>3.5842389961334198</v>
      </c>
      <c r="O18">
        <v>1.6925287670070199</v>
      </c>
      <c r="P18">
        <v>2.0644766356785</v>
      </c>
      <c r="Q18">
        <v>49.693342924117999</v>
      </c>
      <c r="R18">
        <v>13</v>
      </c>
      <c r="S18">
        <v>17.118518518518499</v>
      </c>
      <c r="T18">
        <v>16</v>
      </c>
      <c r="U18">
        <v>5</v>
      </c>
      <c r="V18">
        <v>31</v>
      </c>
      <c r="W18">
        <v>2311</v>
      </c>
      <c r="X18">
        <v>6.5404046748822502</v>
      </c>
      <c r="Y18">
        <f t="shared" si="0"/>
        <v>0.8282223820686333</v>
      </c>
      <c r="Z18">
        <f t="shared" si="1"/>
        <v>5.2887330267671198</v>
      </c>
    </row>
    <row r="19" spans="1:26" x14ac:dyDescent="0.25">
      <c r="A19">
        <v>0</v>
      </c>
      <c r="B19">
        <v>5.5287686589123597</v>
      </c>
      <c r="C19">
        <v>6.4992053693658001</v>
      </c>
      <c r="D19">
        <v>1.61389614668407</v>
      </c>
      <c r="E19">
        <v>53.5159077644348</v>
      </c>
      <c r="F19">
        <v>14</v>
      </c>
      <c r="G19">
        <v>74.059259259259207</v>
      </c>
      <c r="H19">
        <v>72</v>
      </c>
      <c r="I19">
        <v>27</v>
      </c>
      <c r="J19">
        <v>136</v>
      </c>
      <c r="K19">
        <v>9998</v>
      </c>
      <c r="L19">
        <v>27.774347383539599</v>
      </c>
      <c r="M19">
        <v>1</v>
      </c>
      <c r="N19">
        <v>3.4664070794708599</v>
      </c>
      <c r="O19">
        <v>1.6253007500505701</v>
      </c>
      <c r="P19">
        <v>2.2252359888429201</v>
      </c>
      <c r="Q19">
        <v>53.5159077644348</v>
      </c>
      <c r="R19">
        <v>14</v>
      </c>
      <c r="S19">
        <v>16.5851851851851</v>
      </c>
      <c r="T19">
        <v>15</v>
      </c>
      <c r="U19">
        <v>6</v>
      </c>
      <c r="V19">
        <v>32</v>
      </c>
      <c r="W19">
        <v>2239</v>
      </c>
      <c r="X19">
        <v>6.3930759947309896</v>
      </c>
      <c r="Y19">
        <f t="shared" si="0"/>
        <v>0.89193179607391337</v>
      </c>
      <c r="Z19">
        <f t="shared" si="1"/>
        <v>5.3274776325339532</v>
      </c>
    </row>
    <row r="20" spans="1:26" x14ac:dyDescent="0.25">
      <c r="A20">
        <v>0</v>
      </c>
      <c r="B20">
        <v>5.5179137788180501</v>
      </c>
      <c r="C20">
        <v>6.4928425462541997</v>
      </c>
      <c r="D20">
        <v>1.63334865103986</v>
      </c>
      <c r="E20">
        <v>57.338472604751502</v>
      </c>
      <c r="F20">
        <v>15</v>
      </c>
      <c r="G20">
        <v>118.40740740740701</v>
      </c>
      <c r="H20">
        <v>113</v>
      </c>
      <c r="I20">
        <v>34</v>
      </c>
      <c r="J20">
        <v>218</v>
      </c>
      <c r="K20">
        <v>15985</v>
      </c>
      <c r="L20">
        <v>48.4149194188401</v>
      </c>
      <c r="M20">
        <v>1</v>
      </c>
      <c r="N20">
        <v>3.3333540325700599</v>
      </c>
      <c r="O20">
        <v>1.663285242273</v>
      </c>
      <c r="P20">
        <v>2.1639375481927599</v>
      </c>
      <c r="Q20">
        <v>57.338472604751502</v>
      </c>
      <c r="R20">
        <v>15</v>
      </c>
      <c r="S20">
        <v>35.933333333333302</v>
      </c>
      <c r="T20">
        <v>35</v>
      </c>
      <c r="U20">
        <v>12</v>
      </c>
      <c r="V20">
        <v>63</v>
      </c>
      <c r="W20">
        <v>4851</v>
      </c>
      <c r="X20">
        <v>13.2091103793906</v>
      </c>
      <c r="Y20">
        <f t="shared" si="0"/>
        <v>0.95564121007919167</v>
      </c>
      <c r="Z20">
        <f t="shared" si="1"/>
        <v>5.3271427252465431</v>
      </c>
    </row>
    <row r="21" spans="1:26" x14ac:dyDescent="0.25">
      <c r="A21">
        <v>0</v>
      </c>
      <c r="B21">
        <v>5.5742341236029098</v>
      </c>
      <c r="C21">
        <v>6.6021797605564299</v>
      </c>
      <c r="D21">
        <v>1.6242148779504899</v>
      </c>
      <c r="E21">
        <v>61.161037445068303</v>
      </c>
      <c r="F21">
        <v>16</v>
      </c>
      <c r="G21">
        <v>120.503703703703</v>
      </c>
      <c r="H21">
        <v>106</v>
      </c>
      <c r="I21">
        <v>47</v>
      </c>
      <c r="J21">
        <v>222</v>
      </c>
      <c r="K21">
        <v>16268</v>
      </c>
      <c r="L21">
        <v>46.656712987277899</v>
      </c>
      <c r="M21">
        <v>1</v>
      </c>
      <c r="N21">
        <v>3.4577991154556802</v>
      </c>
      <c r="O21">
        <v>1.70716145237787</v>
      </c>
      <c r="P21">
        <v>2.0719127773715198</v>
      </c>
      <c r="Q21">
        <v>61.161037445068303</v>
      </c>
      <c r="R21">
        <v>16</v>
      </c>
      <c r="S21">
        <v>31.014814814814802</v>
      </c>
      <c r="T21">
        <v>29</v>
      </c>
      <c r="U21">
        <v>10</v>
      </c>
      <c r="V21">
        <v>56</v>
      </c>
      <c r="W21">
        <v>4187</v>
      </c>
      <c r="X21">
        <v>12.1292696345837</v>
      </c>
      <c r="Y21">
        <f t="shared" si="0"/>
        <v>1.0193506240844716</v>
      </c>
      <c r="Z21">
        <f t="shared" si="1"/>
        <v>5.351722600271847</v>
      </c>
    </row>
    <row r="22" spans="1:26" x14ac:dyDescent="0.25">
      <c r="A22">
        <v>0</v>
      </c>
      <c r="B22">
        <v>5.6251668666368504</v>
      </c>
      <c r="C22">
        <v>6.6479085527547204</v>
      </c>
      <c r="D22">
        <v>1.4530904005780001</v>
      </c>
      <c r="E22">
        <v>64.983602285385103</v>
      </c>
      <c r="F22">
        <v>17</v>
      </c>
      <c r="G22">
        <v>137.30370370370301</v>
      </c>
      <c r="H22">
        <v>133</v>
      </c>
      <c r="I22">
        <v>46</v>
      </c>
      <c r="J22">
        <v>248</v>
      </c>
      <c r="K22">
        <v>18536</v>
      </c>
      <c r="L22">
        <v>54.219877678153601</v>
      </c>
      <c r="M22">
        <v>1</v>
      </c>
      <c r="N22">
        <v>3.55600313208567</v>
      </c>
      <c r="O22">
        <v>1.7630902726089901</v>
      </c>
      <c r="P22">
        <v>2.0519490211979901</v>
      </c>
      <c r="Q22">
        <v>64.983602285385103</v>
      </c>
      <c r="R22">
        <v>17</v>
      </c>
      <c r="S22">
        <v>24.851851851851801</v>
      </c>
      <c r="T22">
        <v>24</v>
      </c>
      <c r="U22">
        <v>7</v>
      </c>
      <c r="V22">
        <v>44</v>
      </c>
      <c r="W22">
        <v>3355</v>
      </c>
      <c r="X22">
        <v>9.5092402183416898</v>
      </c>
      <c r="Y22">
        <f t="shared" si="0"/>
        <v>1.0830600380897517</v>
      </c>
      <c r="Z22">
        <f t="shared" si="1"/>
        <v>5.3386814699810055</v>
      </c>
    </row>
    <row r="23" spans="1:26" x14ac:dyDescent="0.25">
      <c r="A23">
        <v>0</v>
      </c>
      <c r="B23">
        <v>5.5025577944857096</v>
      </c>
      <c r="C23">
        <v>6.5728950510030097</v>
      </c>
      <c r="D23">
        <v>1.57834473796435</v>
      </c>
      <c r="E23">
        <v>68.806167125701904</v>
      </c>
      <c r="F23">
        <v>18</v>
      </c>
      <c r="G23">
        <v>116.288888888888</v>
      </c>
      <c r="H23">
        <v>108</v>
      </c>
      <c r="I23">
        <v>43</v>
      </c>
      <c r="J23">
        <v>215</v>
      </c>
      <c r="K23">
        <v>15699</v>
      </c>
      <c r="L23">
        <v>45.051026901455003</v>
      </c>
      <c r="M23">
        <v>1</v>
      </c>
      <c r="N23">
        <v>3.4443791749347401</v>
      </c>
      <c r="O23">
        <v>1.6124855417150701</v>
      </c>
      <c r="P23">
        <v>2.0518588270190601</v>
      </c>
      <c r="Q23">
        <v>68.806167125701904</v>
      </c>
      <c r="R23">
        <v>18</v>
      </c>
      <c r="S23">
        <v>30.577777777777701</v>
      </c>
      <c r="T23">
        <v>29</v>
      </c>
      <c r="U23">
        <v>9</v>
      </c>
      <c r="V23">
        <v>55</v>
      </c>
      <c r="W23">
        <v>4128</v>
      </c>
      <c r="X23">
        <v>11.7450953032145</v>
      </c>
      <c r="Y23">
        <f t="shared" si="0"/>
        <v>1.1467694520950318</v>
      </c>
      <c r="Z23">
        <f t="shared" si="1"/>
        <v>5.3912871674901783</v>
      </c>
    </row>
    <row r="24" spans="1:26" x14ac:dyDescent="0.25">
      <c r="A24">
        <v>0</v>
      </c>
      <c r="B24">
        <v>5.4008348892300004</v>
      </c>
      <c r="C24">
        <v>6.5987157522692099</v>
      </c>
      <c r="D24">
        <v>1.5855475475921701</v>
      </c>
      <c r="E24">
        <v>72.628731966018606</v>
      </c>
      <c r="F24">
        <v>19</v>
      </c>
      <c r="G24">
        <v>110.348148148148</v>
      </c>
      <c r="H24">
        <v>108</v>
      </c>
      <c r="I24">
        <v>38</v>
      </c>
      <c r="J24">
        <v>196</v>
      </c>
      <c r="K24">
        <v>14897</v>
      </c>
      <c r="L24">
        <v>42.335073938178198</v>
      </c>
      <c r="M24">
        <v>1</v>
      </c>
      <c r="N24">
        <v>3.4918145872154001</v>
      </c>
      <c r="O24">
        <v>1.57661012139822</v>
      </c>
      <c r="P24">
        <v>2.1768430807747099</v>
      </c>
      <c r="Q24">
        <v>72.628731966018606</v>
      </c>
      <c r="R24">
        <v>19</v>
      </c>
      <c r="S24">
        <v>40.429629629629602</v>
      </c>
      <c r="T24">
        <v>38</v>
      </c>
      <c r="U24">
        <v>11</v>
      </c>
      <c r="V24">
        <v>75</v>
      </c>
      <c r="W24">
        <v>5458</v>
      </c>
      <c r="X24">
        <v>16.839692245894099</v>
      </c>
      <c r="Y24">
        <f t="shared" si="0"/>
        <v>1.2104788661003101</v>
      </c>
      <c r="Z24">
        <f t="shared" si="1"/>
        <v>5.4051395808703813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240627_WT_11_Cell 3_SPB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Shannon</cp:lastModifiedBy>
  <dcterms:created xsi:type="dcterms:W3CDTF">2024-12-04T17:50:03Z</dcterms:created>
  <dcterms:modified xsi:type="dcterms:W3CDTF">2024-12-04T17:52:16Z</dcterms:modified>
</cp:coreProperties>
</file>