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Anaphase A\"/>
    </mc:Choice>
  </mc:AlternateContent>
  <xr:revisionPtr revIDLastSave="0" documentId="13_ncr:1_{11BC01D5-254F-4514-B105-F37ADBD773AC}" xr6:coauthVersionLast="45" xr6:coauthVersionMax="45" xr10:uidLastSave="{00000000-0000-0000-0000-000000000000}"/>
  <bookViews>
    <workbookView xWindow="1740" yWindow="135" windowWidth="24165" windowHeight="14565" xr2:uid="{00000000-000D-0000-FFFF-FFFF00000000}"/>
  </bookViews>
  <sheets>
    <sheet name="240627_WT_11_Cell 3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21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6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5" i="1"/>
</calcChain>
</file>

<file path=xl/sharedStrings.xml><?xml version="1.0" encoding="utf-8"?>
<sst xmlns="http://schemas.openxmlformats.org/spreadsheetml/2006/main" count="112" uniqueCount="94">
  <si>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</si>
  <si>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</si>
  <si>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</si>
  <si>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</si>
  <si>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</si>
  <si>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</si>
  <si>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</si>
  <si>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</si>
  <si>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</si>
  <si>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</si>
  <si>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</si>
  <si>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</si>
  <si>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</si>
  <si>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</si>
  <si>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</si>
  <si>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</si>
  <si>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</si>
  <si>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</si>
  <si>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</si>
  <si>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</si>
  <si>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</si>
  <si>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</si>
  <si>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</si>
  <si>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</si>
  <si>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</si>
  <si>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</si>
  <si>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</si>
  <si>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</si>
  <si>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</si>
  <si>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</si>
  <si>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</si>
  <si>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</si>
  <si>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</si>
  <si>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</si>
  <si>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</si>
  <si>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</si>
  <si>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</si>
  <si>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</si>
  <si>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</si>
  <si>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</si>
  <si>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</si>
  <si>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</si>
  <si>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</si>
  <si>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</si>
  <si>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</si>
  <si>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</si>
  <si>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</si>
  <si>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</si>
  <si>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</si>
  <si>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</si>
  <si>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</si>
  <si>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</si>
  <si>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</si>
  <si>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</si>
  <si>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ID8236728</t>
  </si>
  <si>
    <t>ID8236720</t>
  </si>
  <si>
    <t>ID8236699</t>
  </si>
  <si>
    <t>ID8236723</t>
  </si>
  <si>
    <t>ID8236711</t>
  </si>
  <si>
    <t>ID8236707</t>
  </si>
  <si>
    <t>ID8236703</t>
  </si>
  <si>
    <t>ID8236715</t>
  </si>
  <si>
    <t>ID8236733</t>
  </si>
  <si>
    <t>ID8236751</t>
  </si>
  <si>
    <t>ID8236735</t>
  </si>
  <si>
    <t>ID8236740</t>
  </si>
  <si>
    <t>ID8236748</t>
  </si>
  <si>
    <t>ID8236738</t>
  </si>
  <si>
    <t>ID8236743</t>
  </si>
  <si>
    <t>ID8236745</t>
  </si>
  <si>
    <t>ID8236759</t>
  </si>
  <si>
    <t>ID8236753</t>
  </si>
  <si>
    <t>ID8236763</t>
  </si>
  <si>
    <t>ID8236766</t>
  </si>
  <si>
    <t>ID8236727</t>
  </si>
  <si>
    <t>ID8236719</t>
  </si>
  <si>
    <t>ID8236697</t>
  </si>
  <si>
    <t>ID8236722</t>
  </si>
  <si>
    <t>ID8236710</t>
  </si>
  <si>
    <t>ID8236705</t>
  </si>
  <si>
    <t>ID8236702</t>
  </si>
  <si>
    <t>ID8236714</t>
  </si>
  <si>
    <t>ID8236730</t>
  </si>
  <si>
    <t>ID8236749</t>
  </si>
  <si>
    <t>ID8236734</t>
  </si>
  <si>
    <t>ID8236739</t>
  </si>
  <si>
    <t>ID8236747</t>
  </si>
  <si>
    <t>ID8236736</t>
  </si>
  <si>
    <t>ID8236741</t>
  </si>
  <si>
    <t>ID8236744</t>
  </si>
  <si>
    <t>ID8236757</t>
  </si>
  <si>
    <t>ID8236752</t>
  </si>
  <si>
    <t>ID8236761</t>
  </si>
  <si>
    <t>ID8236765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</si>
</sst>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441929133858268"/>
                  <c:y val="-5.2311169437153687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'240627_WT_11_Cell 3_Kar9'!$H$5:$H$24</c:f>
              <c:numCache>
                <c:formatCode>General</c:formatCode>
                <c:ptCount val="20"/>
                <c:pt idx="0">
                  <c:v>0</c:v>
                </c:pt>
                <c:pt idx="1">
                  <c:v>3.8225648403167698</c:v>
                </c:pt>
                <c:pt idx="2">
                  <c:v>7.6451296806335396</c:v>
                </c:pt>
                <c:pt idx="3">
                  <c:v>11.4676945209503</c:v>
                </c:pt>
                <c:pt idx="4">
                  <c:v>15.290259361266999</c:v>
                </c:pt>
                <c:pt idx="5">
                  <c:v>19.112824201583798</c:v>
                </c:pt>
                <c:pt idx="6">
                  <c:v>22.935389041900599</c:v>
                </c:pt>
                <c:pt idx="7">
                  <c:v>26.7579538822174</c:v>
                </c:pt>
                <c:pt idx="8">
                  <c:v>30.580518722534102</c:v>
                </c:pt>
                <c:pt idx="9">
                  <c:v>34.403083562850902</c:v>
                </c:pt>
                <c:pt idx="10">
                  <c:v>38.225648403167703</c:v>
                </c:pt>
                <c:pt idx="11">
                  <c:v>42.048213243484497</c:v>
                </c:pt>
                <c:pt idx="12">
                  <c:v>45.870778083801198</c:v>
                </c:pt>
                <c:pt idx="13">
                  <c:v>49.693342924117999</c:v>
                </c:pt>
                <c:pt idx="14">
                  <c:v>53.5159077644348</c:v>
                </c:pt>
                <c:pt idx="15">
                  <c:v>57.338472604751502</c:v>
                </c:pt>
                <c:pt idx="16">
                  <c:v>61.161037445068303</c:v>
                </c:pt>
                <c:pt idx="17">
                  <c:v>64.983602285385103</c:v>
                </c:pt>
                <c:pt idx="18">
                  <c:v>68.806167125701904</c:v>
                </c:pt>
                <c:pt idx="19">
                  <c:v>72.628731966018606</c:v>
                </c:pt>
              </c:numCache>
            </c:numRef>
          </c:xVal>
          <c:yVal>
            <c:numRef>
              <c:f>'240627_WT_11_Cell 3_Kar9'!$V$19:$V$21</c:f>
              <c:numCache>
                <c:formatCode>General</c:formatCode>
                <c:ptCount val="3"/>
                <c:pt idx="0">
                  <c:v>0.93093375898264341</c:v>
                </c:pt>
                <c:pt idx="1">
                  <c:v>0.85211318820931325</c:v>
                </c:pt>
                <c:pt idx="2">
                  <c:v>0.8429323458678214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58-4E44-8664-8E384FD70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709584"/>
        <c:axId val="771115088"/>
      </c:scatterChart>
      <c:valAx>
        <c:axId val="73470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15088"/>
        <c:crosses val="autoZero"/>
        <c:crossBetween val="midCat"/>
      </c:valAx>
      <c:valAx>
        <c:axId val="7711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0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519112</xdr:colOff>
      <xdr:row>4</xdr:row>
      <xdr:rowOff>76200</xdr:rowOff>
    </xdr:from>
    <xdr:to>
      <xdr:col>31</xdr:col>
      <xdr:colOff>214312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77FC9-556A-43CE-A6B2-9A6820FC3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"/>
  <sheetViews>
    <sheetView tabSelected="1" topLeftCell="K1" workbookViewId="0">
      <selection activeCell="X21" sqref="X2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3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3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3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3" x14ac:dyDescent="0.25">
      <c r="A5" t="s">
        <v>54</v>
      </c>
      <c r="B5">
        <v>8236728</v>
      </c>
      <c r="C5">
        <v>0</v>
      </c>
      <c r="D5">
        <v>3.0721778869628902</v>
      </c>
      <c r="E5">
        <v>4.75441684735158</v>
      </c>
      <c r="F5">
        <v>7.90138899320071</v>
      </c>
      <c r="G5">
        <v>2.4888980599311599</v>
      </c>
      <c r="H5">
        <v>0</v>
      </c>
      <c r="I5">
        <v>0</v>
      </c>
      <c r="J5">
        <v>0.1</v>
      </c>
      <c r="K5">
        <v>1</v>
      </c>
      <c r="M5">
        <v>23.658227848101198</v>
      </c>
      <c r="N5">
        <v>24</v>
      </c>
      <c r="O5">
        <v>13</v>
      </c>
      <c r="P5">
        <v>32</v>
      </c>
      <c r="Q5">
        <v>1869</v>
      </c>
      <c r="R5">
        <v>4.8513441857858401</v>
      </c>
      <c r="S5">
        <v>0.29329383972797801</v>
      </c>
      <c r="T5">
        <v>2.2118509137659301</v>
      </c>
      <c r="V5">
        <f>SQRT((E48-E5)^2+(F48-F5)^2+(G48-G5)^2)</f>
        <v>1.4783189857070926</v>
      </c>
    </row>
    <row r="6" spans="1:23" x14ac:dyDescent="0.25">
      <c r="A6" t="s">
        <v>55</v>
      </c>
      <c r="B6">
        <v>8236720</v>
      </c>
      <c r="C6">
        <v>0</v>
      </c>
      <c r="D6">
        <v>2.7921028137207</v>
      </c>
      <c r="E6">
        <v>4.7923453408603596</v>
      </c>
      <c r="F6">
        <v>7.8942826721934498</v>
      </c>
      <c r="G6">
        <v>2.6115250839995401</v>
      </c>
      <c r="H6">
        <v>3.8225648403167698</v>
      </c>
      <c r="I6">
        <v>1</v>
      </c>
      <c r="J6">
        <v>0.1</v>
      </c>
      <c r="K6">
        <v>1</v>
      </c>
      <c r="M6">
        <v>19.683544303797401</v>
      </c>
      <c r="N6">
        <v>20</v>
      </c>
      <c r="O6">
        <v>10</v>
      </c>
      <c r="P6">
        <v>28</v>
      </c>
      <c r="Q6">
        <v>1555</v>
      </c>
      <c r="R6">
        <v>4.0904651600491704</v>
      </c>
      <c r="S6">
        <v>0.31710519195431702</v>
      </c>
      <c r="T6">
        <v>2.3170931366954699</v>
      </c>
      <c r="V6">
        <f t="shared" ref="V6:W24" si="0">SQRT((E49-E6)^2+(F49-F6)^2+(G49-G6)^2)</f>
        <v>1.6327246882454438</v>
      </c>
      <c r="W6">
        <f>SQRT((E6-E5)^2+(F6-F5)^2+(G6-G5)^2)</f>
        <v>0.12855527002021686</v>
      </c>
    </row>
    <row r="7" spans="1:23" x14ac:dyDescent="0.25">
      <c r="A7" t="s">
        <v>56</v>
      </c>
      <c r="B7">
        <v>8236699</v>
      </c>
      <c r="C7">
        <v>0</v>
      </c>
      <c r="D7">
        <v>4.2891597747802699</v>
      </c>
      <c r="E7">
        <v>4.9289923195627798</v>
      </c>
      <c r="F7">
        <v>7.8852435924296902</v>
      </c>
      <c r="G7">
        <v>2.6870007879772801</v>
      </c>
      <c r="H7">
        <v>7.6451296806335396</v>
      </c>
      <c r="I7">
        <v>2</v>
      </c>
      <c r="J7">
        <v>0.1</v>
      </c>
      <c r="K7">
        <v>1</v>
      </c>
      <c r="M7">
        <v>28.253164556961998</v>
      </c>
      <c r="N7">
        <v>29</v>
      </c>
      <c r="O7">
        <v>13</v>
      </c>
      <c r="P7">
        <v>42</v>
      </c>
      <c r="Q7">
        <v>2232</v>
      </c>
      <c r="R7">
        <v>7.1709319825399804</v>
      </c>
      <c r="S7">
        <v>0.33917656441012201</v>
      </c>
      <c r="T7">
        <v>1.99576539355573</v>
      </c>
      <c r="V7">
        <f t="shared" si="0"/>
        <v>1.6765746688426242</v>
      </c>
      <c r="W7">
        <f t="shared" ref="W7:W24" si="1">SQRT((E7-E6)^2+(F7-F6)^2+(G7-G6)^2)</f>
        <v>0.15636714374321337</v>
      </c>
    </row>
    <row r="8" spans="1:23" x14ac:dyDescent="0.25">
      <c r="A8" t="s">
        <v>57</v>
      </c>
      <c r="B8">
        <v>8236723</v>
      </c>
      <c r="C8">
        <v>0</v>
      </c>
      <c r="D8">
        <v>6.4234542846679599</v>
      </c>
      <c r="E8">
        <v>4.5109749658304503</v>
      </c>
      <c r="F8">
        <v>7.6499034083500499</v>
      </c>
      <c r="G8">
        <v>2.2983038180078599</v>
      </c>
      <c r="H8">
        <v>11.4676945209503</v>
      </c>
      <c r="I8">
        <v>3</v>
      </c>
      <c r="J8">
        <v>0.1</v>
      </c>
      <c r="K8">
        <v>1</v>
      </c>
      <c r="M8">
        <v>41.569620253164501</v>
      </c>
      <c r="N8">
        <v>42</v>
      </c>
      <c r="O8">
        <v>20</v>
      </c>
      <c r="P8">
        <v>60</v>
      </c>
      <c r="Q8">
        <v>3284</v>
      </c>
      <c r="R8">
        <v>9.6365803386457696</v>
      </c>
      <c r="S8">
        <v>0.348321526510181</v>
      </c>
      <c r="T8">
        <v>2.22879411904702</v>
      </c>
      <c r="V8">
        <f t="shared" si="0"/>
        <v>1.6257724153263984</v>
      </c>
      <c r="W8">
        <f t="shared" si="1"/>
        <v>0.61742112429639695</v>
      </c>
    </row>
    <row r="9" spans="1:23" x14ac:dyDescent="0.25">
      <c r="A9" t="s">
        <v>58</v>
      </c>
      <c r="B9">
        <v>8236711</v>
      </c>
      <c r="C9">
        <v>0</v>
      </c>
      <c r="D9">
        <v>5.4193038940429599</v>
      </c>
      <c r="E9">
        <v>4.93045690842672</v>
      </c>
      <c r="F9">
        <v>8.0302372220859795</v>
      </c>
      <c r="G9">
        <v>1.9812360002226199</v>
      </c>
      <c r="H9">
        <v>15.290259361266999</v>
      </c>
      <c r="I9">
        <v>4</v>
      </c>
      <c r="J9">
        <v>0.1</v>
      </c>
      <c r="K9">
        <v>1</v>
      </c>
      <c r="M9">
        <v>38.746835443037902</v>
      </c>
      <c r="N9">
        <v>40</v>
      </c>
      <c r="O9">
        <v>17</v>
      </c>
      <c r="P9">
        <v>54</v>
      </c>
      <c r="Q9">
        <v>3061</v>
      </c>
      <c r="R9">
        <v>9.2908396496576504</v>
      </c>
      <c r="S9">
        <v>0.30890043027803199</v>
      </c>
      <c r="T9">
        <v>1.9684444893394</v>
      </c>
      <c r="V9">
        <f t="shared" si="0"/>
        <v>1.7228812455976605</v>
      </c>
      <c r="W9">
        <f t="shared" si="1"/>
        <v>0.64896140956943738</v>
      </c>
    </row>
    <row r="10" spans="1:23" x14ac:dyDescent="0.25">
      <c r="A10" t="s">
        <v>59</v>
      </c>
      <c r="B10">
        <v>8236707</v>
      </c>
      <c r="C10">
        <v>0</v>
      </c>
      <c r="D10">
        <v>6.0498237609863201</v>
      </c>
      <c r="E10">
        <v>4.9073167542642002</v>
      </c>
      <c r="F10">
        <v>7.9756881648927598</v>
      </c>
      <c r="G10">
        <v>2.4283935312413401</v>
      </c>
      <c r="H10">
        <v>19.112824201583798</v>
      </c>
      <c r="I10">
        <v>5</v>
      </c>
      <c r="J10">
        <v>0.1</v>
      </c>
      <c r="K10">
        <v>1</v>
      </c>
      <c r="M10">
        <v>44.860759493670798</v>
      </c>
      <c r="N10">
        <v>46</v>
      </c>
      <c r="O10">
        <v>23</v>
      </c>
      <c r="P10">
        <v>62</v>
      </c>
      <c r="Q10">
        <v>3544</v>
      </c>
      <c r="R10">
        <v>9.2302931825747994</v>
      </c>
      <c r="S10">
        <v>0.308430384004791</v>
      </c>
      <c r="T10">
        <v>2.2913300763280802</v>
      </c>
      <c r="V10">
        <f t="shared" si="0"/>
        <v>1.8534083582795653</v>
      </c>
      <c r="W10">
        <f t="shared" si="1"/>
        <v>0.45106642961108506</v>
      </c>
    </row>
    <row r="11" spans="1:23" x14ac:dyDescent="0.25">
      <c r="A11" t="s">
        <v>60</v>
      </c>
      <c r="B11">
        <v>8236703</v>
      </c>
      <c r="C11">
        <v>0</v>
      </c>
      <c r="D11">
        <v>9.0751991271972603</v>
      </c>
      <c r="E11">
        <v>5.06361325100921</v>
      </c>
      <c r="F11">
        <v>8.0390321401644496</v>
      </c>
      <c r="G11">
        <v>2.4761609058836802</v>
      </c>
      <c r="H11">
        <v>22.935389041900599</v>
      </c>
      <c r="I11">
        <v>6</v>
      </c>
      <c r="J11">
        <v>0.1</v>
      </c>
      <c r="K11">
        <v>1</v>
      </c>
      <c r="M11">
        <v>66.734177215189803</v>
      </c>
      <c r="N11">
        <v>67</v>
      </c>
      <c r="O11">
        <v>37</v>
      </c>
      <c r="P11">
        <v>93</v>
      </c>
      <c r="Q11">
        <v>5272</v>
      </c>
      <c r="R11">
        <v>13.613444392386601</v>
      </c>
      <c r="S11">
        <v>0.30555147601291899</v>
      </c>
      <c r="T11">
        <v>2.2945666131663902</v>
      </c>
      <c r="V11">
        <f t="shared" si="0"/>
        <v>1.8966495652693582</v>
      </c>
      <c r="W11">
        <f t="shared" si="1"/>
        <v>0.17527913788641528</v>
      </c>
    </row>
    <row r="12" spans="1:23" x14ac:dyDescent="0.25">
      <c r="A12" t="s">
        <v>61</v>
      </c>
      <c r="B12">
        <v>8236715</v>
      </c>
      <c r="C12">
        <v>0</v>
      </c>
      <c r="D12">
        <v>7.8768653869628897</v>
      </c>
      <c r="E12">
        <v>4.7946047354275203</v>
      </c>
      <c r="F12">
        <v>7.9512685219319001</v>
      </c>
      <c r="G12">
        <v>2.5223665646928199</v>
      </c>
      <c r="H12">
        <v>26.7579538822174</v>
      </c>
      <c r="I12">
        <v>7</v>
      </c>
      <c r="J12">
        <v>0.1</v>
      </c>
      <c r="K12">
        <v>1</v>
      </c>
      <c r="M12">
        <v>57.962025316455602</v>
      </c>
      <c r="N12">
        <v>57</v>
      </c>
      <c r="O12">
        <v>35</v>
      </c>
      <c r="P12">
        <v>80</v>
      </c>
      <c r="Q12">
        <v>4579</v>
      </c>
      <c r="R12">
        <v>11.362830811493801</v>
      </c>
      <c r="S12">
        <v>0.30588692437581899</v>
      </c>
      <c r="T12">
        <v>2.3896942965705001</v>
      </c>
      <c r="V12" s="1">
        <f t="shared" si="0"/>
        <v>1.9938529306096051</v>
      </c>
      <c r="W12">
        <f t="shared" si="1"/>
        <v>0.28671065038941179</v>
      </c>
    </row>
    <row r="13" spans="1:23" x14ac:dyDescent="0.25">
      <c r="A13" t="s">
        <v>62</v>
      </c>
      <c r="B13">
        <v>8236733</v>
      </c>
      <c r="C13">
        <v>0</v>
      </c>
      <c r="D13">
        <v>7.1867713928222603</v>
      </c>
      <c r="E13">
        <v>4.8422075436153698</v>
      </c>
      <c r="F13">
        <v>8.0507326777874493</v>
      </c>
      <c r="G13">
        <v>2.1853034408909902</v>
      </c>
      <c r="H13">
        <v>30.580518722534102</v>
      </c>
      <c r="I13">
        <v>8</v>
      </c>
      <c r="J13">
        <v>0.1</v>
      </c>
      <c r="K13">
        <v>1</v>
      </c>
      <c r="M13">
        <v>49.253164556961998</v>
      </c>
      <c r="N13">
        <v>49</v>
      </c>
      <c r="O13">
        <v>27</v>
      </c>
      <c r="P13">
        <v>70</v>
      </c>
      <c r="Q13">
        <v>3891</v>
      </c>
      <c r="R13">
        <v>10.865693311484501</v>
      </c>
      <c r="S13">
        <v>0.32936322461404099</v>
      </c>
      <c r="T13">
        <v>2.2461468067522001</v>
      </c>
      <c r="V13" s="1">
        <f t="shared" si="0"/>
        <v>1.8001511651305737</v>
      </c>
      <c r="W13">
        <f t="shared" si="1"/>
        <v>0.35464164317585972</v>
      </c>
    </row>
    <row r="14" spans="1:23" x14ac:dyDescent="0.25">
      <c r="A14" t="s">
        <v>63</v>
      </c>
      <c r="B14">
        <v>8236751</v>
      </c>
      <c r="C14">
        <v>0</v>
      </c>
      <c r="D14">
        <v>8.1433486938476491</v>
      </c>
      <c r="E14">
        <v>4.8082987775836799</v>
      </c>
      <c r="F14">
        <v>7.8550501907044001</v>
      </c>
      <c r="G14">
        <v>2.01846606111451</v>
      </c>
      <c r="H14">
        <v>34.403083562850902</v>
      </c>
      <c r="I14">
        <v>9</v>
      </c>
      <c r="J14">
        <v>0.1</v>
      </c>
      <c r="K14">
        <v>1</v>
      </c>
      <c r="M14">
        <v>55.683544303797397</v>
      </c>
      <c r="N14">
        <v>58</v>
      </c>
      <c r="O14">
        <v>27</v>
      </c>
      <c r="P14">
        <v>80</v>
      </c>
      <c r="Q14">
        <v>4399</v>
      </c>
      <c r="R14">
        <v>12.810797032589001</v>
      </c>
      <c r="S14">
        <v>0.32391280085839802</v>
      </c>
      <c r="T14">
        <v>2.1269116295709298</v>
      </c>
      <c r="V14" s="1">
        <f t="shared" si="0"/>
        <v>1.5846082224347589</v>
      </c>
      <c r="W14">
        <f t="shared" si="1"/>
        <v>0.25937646665702163</v>
      </c>
    </row>
    <row r="15" spans="1:23" x14ac:dyDescent="0.25">
      <c r="A15" t="s">
        <v>64</v>
      </c>
      <c r="B15">
        <v>8236735</v>
      </c>
      <c r="C15">
        <v>0</v>
      </c>
      <c r="D15">
        <v>10.6401023864746</v>
      </c>
      <c r="E15">
        <v>4.99016382110851</v>
      </c>
      <c r="F15">
        <v>7.5592976265405296</v>
      </c>
      <c r="G15">
        <v>2.2643117078158701</v>
      </c>
      <c r="H15">
        <v>38.225648403167703</v>
      </c>
      <c r="I15">
        <v>10</v>
      </c>
      <c r="J15">
        <v>0.1</v>
      </c>
      <c r="K15">
        <v>1</v>
      </c>
      <c r="M15">
        <v>73.151898734177195</v>
      </c>
      <c r="N15">
        <v>75</v>
      </c>
      <c r="O15">
        <v>31</v>
      </c>
      <c r="P15">
        <v>106</v>
      </c>
      <c r="Q15">
        <v>5779</v>
      </c>
      <c r="R15">
        <v>19.000734538834401</v>
      </c>
      <c r="S15">
        <v>0.32769819123425797</v>
      </c>
      <c r="T15">
        <v>1.90046505800642</v>
      </c>
      <c r="V15" s="1">
        <f t="shared" si="0"/>
        <v>1.3631300898623204</v>
      </c>
      <c r="W15">
        <f t="shared" si="1"/>
        <v>0.42542279589580373</v>
      </c>
    </row>
    <row r="16" spans="1:23" x14ac:dyDescent="0.25">
      <c r="A16" t="s">
        <v>65</v>
      </c>
      <c r="B16">
        <v>8236740</v>
      </c>
      <c r="C16">
        <v>0</v>
      </c>
      <c r="D16">
        <v>6.5729827880859304</v>
      </c>
      <c r="E16">
        <v>5.1739181630656397</v>
      </c>
      <c r="F16">
        <v>7.6416353573699896</v>
      </c>
      <c r="G16">
        <v>1.77935035511175</v>
      </c>
      <c r="H16">
        <v>42.048213243484497</v>
      </c>
      <c r="I16">
        <v>11</v>
      </c>
      <c r="J16">
        <v>0.1</v>
      </c>
      <c r="K16">
        <v>1</v>
      </c>
      <c r="M16">
        <v>44.911392405063197</v>
      </c>
      <c r="N16">
        <v>45</v>
      </c>
      <c r="O16">
        <v>26</v>
      </c>
      <c r="P16">
        <v>64</v>
      </c>
      <c r="Q16">
        <v>3548</v>
      </c>
      <c r="R16">
        <v>9.5342700007188892</v>
      </c>
      <c r="S16">
        <v>0.32535733741471801</v>
      </c>
      <c r="T16">
        <v>2.3127393384380301</v>
      </c>
      <c r="V16" s="1">
        <f t="shared" si="0"/>
        <v>1.1016550750199468</v>
      </c>
      <c r="W16">
        <f t="shared" si="1"/>
        <v>0.5251025363896582</v>
      </c>
    </row>
    <row r="17" spans="1:24" x14ac:dyDescent="0.25">
      <c r="A17" t="s">
        <v>66</v>
      </c>
      <c r="B17">
        <v>8236748</v>
      </c>
      <c r="C17">
        <v>0</v>
      </c>
      <c r="D17">
        <v>7.0722160339355398</v>
      </c>
      <c r="E17">
        <v>5.5998012819346403</v>
      </c>
      <c r="F17">
        <v>7.5730024179093798</v>
      </c>
      <c r="G17">
        <v>2.2349540052093699</v>
      </c>
      <c r="H17">
        <v>45.870778083801198</v>
      </c>
      <c r="I17">
        <v>12</v>
      </c>
      <c r="J17">
        <v>0.1</v>
      </c>
      <c r="K17">
        <v>1</v>
      </c>
      <c r="M17">
        <v>58.6202531645569</v>
      </c>
      <c r="N17">
        <v>59</v>
      </c>
      <c r="O17">
        <v>36</v>
      </c>
      <c r="P17">
        <v>77</v>
      </c>
      <c r="Q17">
        <v>4631</v>
      </c>
      <c r="R17">
        <v>9.7642779053040503</v>
      </c>
      <c r="S17">
        <v>0.268863688256336</v>
      </c>
      <c r="T17">
        <v>2.5442204357256601</v>
      </c>
      <c r="V17" s="1">
        <f t="shared" si="0"/>
        <v>1.1362450021965436</v>
      </c>
      <c r="W17">
        <f t="shared" si="1"/>
        <v>0.62742457498799453</v>
      </c>
    </row>
    <row r="18" spans="1:24" x14ac:dyDescent="0.25">
      <c r="A18" t="s">
        <v>67</v>
      </c>
      <c r="B18">
        <v>8236738</v>
      </c>
      <c r="C18">
        <v>0</v>
      </c>
      <c r="D18">
        <v>6.9057579040527299</v>
      </c>
      <c r="E18">
        <v>5.4780925553595496</v>
      </c>
      <c r="F18">
        <v>7.5056933884713901</v>
      </c>
      <c r="G18">
        <v>2.0902134093571001</v>
      </c>
      <c r="H18">
        <v>49.693342924117999</v>
      </c>
      <c r="I18">
        <v>13</v>
      </c>
      <c r="J18">
        <v>0.1</v>
      </c>
      <c r="K18">
        <v>1</v>
      </c>
      <c r="M18">
        <v>49.341772151898702</v>
      </c>
      <c r="N18">
        <v>49</v>
      </c>
      <c r="O18">
        <v>30</v>
      </c>
      <c r="P18">
        <v>69</v>
      </c>
      <c r="Q18">
        <v>3898</v>
      </c>
      <c r="R18">
        <v>10.189091799125601</v>
      </c>
      <c r="S18">
        <v>0.31465884711591602</v>
      </c>
      <c r="T18">
        <v>2.3181212217268801</v>
      </c>
      <c r="V18" s="1">
        <f t="shared" si="0"/>
        <v>1.0115578735976114</v>
      </c>
      <c r="W18">
        <f t="shared" si="1"/>
        <v>0.20073205936293401</v>
      </c>
    </row>
    <row r="19" spans="1:24" x14ac:dyDescent="0.25">
      <c r="A19" t="s">
        <v>68</v>
      </c>
      <c r="B19">
        <v>8236743</v>
      </c>
      <c r="C19">
        <v>0</v>
      </c>
      <c r="D19">
        <v>5.0009593963623002</v>
      </c>
      <c r="E19">
        <v>5.3057797626337004</v>
      </c>
      <c r="F19">
        <v>7.2401382305643098</v>
      </c>
      <c r="G19">
        <v>2.13151773717868</v>
      </c>
      <c r="H19">
        <v>53.5159077644348</v>
      </c>
      <c r="I19">
        <v>14</v>
      </c>
      <c r="J19">
        <v>0.1</v>
      </c>
      <c r="K19">
        <v>1</v>
      </c>
      <c r="M19">
        <v>34.303797468354396</v>
      </c>
      <c r="N19">
        <v>36</v>
      </c>
      <c r="O19">
        <v>15</v>
      </c>
      <c r="P19">
        <v>49</v>
      </c>
      <c r="Q19">
        <v>2710</v>
      </c>
      <c r="R19">
        <v>8.7300753813230703</v>
      </c>
      <c r="S19">
        <v>0.32764859498688798</v>
      </c>
      <c r="T19">
        <v>1.93945349914792</v>
      </c>
      <c r="V19" s="2">
        <f t="shared" si="0"/>
        <v>0.93093375898264341</v>
      </c>
      <c r="W19">
        <f t="shared" si="1"/>
        <v>0.3192448714150759</v>
      </c>
    </row>
    <row r="20" spans="1:24" x14ac:dyDescent="0.25">
      <c r="A20" t="s">
        <v>69</v>
      </c>
      <c r="B20">
        <v>8236745</v>
      </c>
      <c r="C20">
        <v>0</v>
      </c>
      <c r="D20">
        <v>8.1463317871093697</v>
      </c>
      <c r="E20">
        <v>5.3218864373010302</v>
      </c>
      <c r="F20">
        <v>7.2252144573971302</v>
      </c>
      <c r="G20">
        <v>2.0223236510936702</v>
      </c>
      <c r="H20">
        <v>57.338472604751502</v>
      </c>
      <c r="I20">
        <v>15</v>
      </c>
      <c r="J20">
        <v>0.1</v>
      </c>
      <c r="K20">
        <v>1</v>
      </c>
      <c r="M20">
        <v>53.4050632911392</v>
      </c>
      <c r="N20">
        <v>52</v>
      </c>
      <c r="O20">
        <v>31</v>
      </c>
      <c r="P20">
        <v>78</v>
      </c>
      <c r="Q20">
        <v>4219</v>
      </c>
      <c r="R20">
        <v>12.066608925356</v>
      </c>
      <c r="S20">
        <v>0.34329724444703802</v>
      </c>
      <c r="T20">
        <v>2.26217076617493</v>
      </c>
      <c r="V20" s="2">
        <f t="shared" si="0"/>
        <v>0.85211318820931325</v>
      </c>
      <c r="W20">
        <f t="shared" si="1"/>
        <v>0.11137994617670258</v>
      </c>
    </row>
    <row r="21" spans="1:24" x14ac:dyDescent="0.25">
      <c r="A21" t="s">
        <v>70</v>
      </c>
      <c r="B21">
        <v>8236759</v>
      </c>
      <c r="C21">
        <v>0</v>
      </c>
      <c r="D21">
        <v>7.0875434875488201</v>
      </c>
      <c r="E21">
        <v>5.31343336938306</v>
      </c>
      <c r="F21">
        <v>7.3225316555881399</v>
      </c>
      <c r="G21">
        <v>1.97579851470398</v>
      </c>
      <c r="H21">
        <v>61.161037445068303</v>
      </c>
      <c r="I21">
        <v>16</v>
      </c>
      <c r="J21">
        <v>0.1</v>
      </c>
      <c r="K21">
        <v>1</v>
      </c>
      <c r="M21">
        <v>44.759493670886002</v>
      </c>
      <c r="N21">
        <v>44</v>
      </c>
      <c r="O21">
        <v>24</v>
      </c>
      <c r="P21">
        <v>66</v>
      </c>
      <c r="Q21">
        <v>3536</v>
      </c>
      <c r="R21">
        <v>10.245968800626899</v>
      </c>
      <c r="S21">
        <v>0.35461410641344199</v>
      </c>
      <c r="T21">
        <v>2.2871915898721098</v>
      </c>
      <c r="V21" s="2">
        <f t="shared" si="0"/>
        <v>0.8429323458678214</v>
      </c>
      <c r="W21">
        <f t="shared" si="1"/>
        <v>0.10819741095355909</v>
      </c>
      <c r="X21">
        <f>H21-H19</f>
        <v>7.6451296806335023</v>
      </c>
    </row>
    <row r="22" spans="1:24" x14ac:dyDescent="0.25">
      <c r="A22" t="s">
        <v>71</v>
      </c>
      <c r="B22">
        <v>8236753</v>
      </c>
      <c r="C22">
        <v>0</v>
      </c>
      <c r="D22">
        <v>6.6239929199218697</v>
      </c>
      <c r="E22">
        <v>5.1875878512263096</v>
      </c>
      <c r="F22">
        <v>6.87946506756915</v>
      </c>
      <c r="G22">
        <v>2.0904848872120199</v>
      </c>
      <c r="H22">
        <v>64.983602285385103</v>
      </c>
      <c r="I22">
        <v>17</v>
      </c>
      <c r="J22">
        <v>0.1</v>
      </c>
      <c r="K22">
        <v>1</v>
      </c>
      <c r="M22">
        <v>43.911392405063197</v>
      </c>
      <c r="N22">
        <v>43</v>
      </c>
      <c r="O22">
        <v>24</v>
      </c>
      <c r="P22">
        <v>64</v>
      </c>
      <c r="Q22">
        <v>3469</v>
      </c>
      <c r="R22">
        <v>10.3480332250189</v>
      </c>
      <c r="S22">
        <v>0.34216618339627602</v>
      </c>
      <c r="T22">
        <v>2.1636159931057901</v>
      </c>
      <c r="V22" s="1">
        <f t="shared" si="0"/>
        <v>0.80707220610804642</v>
      </c>
      <c r="W22">
        <f t="shared" si="1"/>
        <v>0.47465572776274723</v>
      </c>
    </row>
    <row r="23" spans="1:24" x14ac:dyDescent="0.25">
      <c r="A23" t="s">
        <v>72</v>
      </c>
      <c r="B23">
        <v>8236763</v>
      </c>
      <c r="C23">
        <v>0</v>
      </c>
      <c r="D23">
        <v>5.6629543304443297</v>
      </c>
      <c r="E23">
        <v>4.8365125582432</v>
      </c>
      <c r="F23">
        <v>6.5971518265064004</v>
      </c>
      <c r="G23">
        <v>2.05162309774839</v>
      </c>
      <c r="H23">
        <v>68.806167125701904</v>
      </c>
      <c r="I23">
        <v>18</v>
      </c>
      <c r="J23">
        <v>0.1</v>
      </c>
      <c r="K23">
        <v>1</v>
      </c>
      <c r="M23">
        <v>35.772151898734101</v>
      </c>
      <c r="N23">
        <v>37</v>
      </c>
      <c r="O23">
        <v>17</v>
      </c>
      <c r="P23">
        <v>53</v>
      </c>
      <c r="Q23">
        <v>2826</v>
      </c>
      <c r="R23">
        <v>9.48000509451421</v>
      </c>
      <c r="S23">
        <v>0.34918719349012101</v>
      </c>
      <c r="T23">
        <v>1.95322641270452</v>
      </c>
      <c r="V23" s="1">
        <f t="shared" si="0"/>
        <v>0.81743321055547624</v>
      </c>
      <c r="W23">
        <f t="shared" si="1"/>
        <v>0.45217791421391412</v>
      </c>
    </row>
    <row r="24" spans="1:24" x14ac:dyDescent="0.25">
      <c r="A24" t="s">
        <v>73</v>
      </c>
      <c r="B24">
        <v>8236766</v>
      </c>
      <c r="C24">
        <v>0</v>
      </c>
      <c r="D24">
        <v>6.0089836120605398</v>
      </c>
      <c r="E24">
        <v>5.1957522108721896</v>
      </c>
      <c r="F24">
        <v>7.4888258270500403</v>
      </c>
      <c r="G24">
        <v>2.0904732299946001</v>
      </c>
      <c r="H24">
        <v>72.628731966018606</v>
      </c>
      <c r="I24">
        <v>19</v>
      </c>
      <c r="J24">
        <v>0.1</v>
      </c>
      <c r="K24">
        <v>1</v>
      </c>
      <c r="M24">
        <v>40.860759493670798</v>
      </c>
      <c r="N24">
        <v>42</v>
      </c>
      <c r="O24">
        <v>24</v>
      </c>
      <c r="P24">
        <v>58</v>
      </c>
      <c r="Q24">
        <v>3228</v>
      </c>
      <c r="R24">
        <v>8.6524550795108706</v>
      </c>
      <c r="S24">
        <v>0.33073617166001901</v>
      </c>
      <c r="T24">
        <v>2.3473984328178701</v>
      </c>
      <c r="V24">
        <f t="shared" si="0"/>
        <v>1.0436976549452952</v>
      </c>
      <c r="W24">
        <f t="shared" si="1"/>
        <v>0.96210445588929905</v>
      </c>
    </row>
    <row r="25" spans="1:24" x14ac:dyDescent="0.25">
      <c r="A25" t="s">
        <v>74</v>
      </c>
      <c r="B25">
        <v>8236727</v>
      </c>
      <c r="C25">
        <v>3</v>
      </c>
      <c r="D25">
        <v>13.2744827270507</v>
      </c>
      <c r="E25">
        <v>5.0512788848682701</v>
      </c>
      <c r="F25">
        <v>7.4461273622910698</v>
      </c>
      <c r="G25">
        <v>2.07316524260998</v>
      </c>
      <c r="H25">
        <v>0</v>
      </c>
      <c r="I25">
        <v>0</v>
      </c>
      <c r="J25">
        <v>0.1</v>
      </c>
      <c r="K25">
        <v>1</v>
      </c>
      <c r="M25">
        <v>96.037974683544306</v>
      </c>
      <c r="N25">
        <v>99</v>
      </c>
      <c r="O25">
        <v>45</v>
      </c>
      <c r="P25">
        <v>135</v>
      </c>
      <c r="Q25">
        <v>7587</v>
      </c>
      <c r="R25">
        <v>22.046246868202001</v>
      </c>
      <c r="S25">
        <v>0.31222646634696799</v>
      </c>
      <c r="T25">
        <v>2.0729997194375098</v>
      </c>
    </row>
    <row r="26" spans="1:24" x14ac:dyDescent="0.25">
      <c r="A26" t="s">
        <v>75</v>
      </c>
      <c r="B26">
        <v>8236719</v>
      </c>
      <c r="C26">
        <v>3</v>
      </c>
      <c r="D26">
        <v>10.082649230956999</v>
      </c>
      <c r="E26">
        <v>5.0582210907977299</v>
      </c>
      <c r="F26">
        <v>7.3478055604322599</v>
      </c>
      <c r="G26">
        <v>2.3084374466164901</v>
      </c>
      <c r="H26">
        <v>3.8225648403167698</v>
      </c>
      <c r="I26">
        <v>1</v>
      </c>
      <c r="J26">
        <v>0.1</v>
      </c>
      <c r="K26">
        <v>1</v>
      </c>
      <c r="M26">
        <v>81.658227848101205</v>
      </c>
      <c r="N26">
        <v>85</v>
      </c>
      <c r="O26">
        <v>34</v>
      </c>
      <c r="P26">
        <v>109</v>
      </c>
      <c r="Q26">
        <v>6451</v>
      </c>
      <c r="R26">
        <v>17.8755570656961</v>
      </c>
      <c r="S26">
        <v>0.27491483357447</v>
      </c>
      <c r="T26">
        <v>1.97009587181014</v>
      </c>
    </row>
    <row r="27" spans="1:24" x14ac:dyDescent="0.25">
      <c r="A27" t="s">
        <v>76</v>
      </c>
      <c r="B27">
        <v>8236697</v>
      </c>
      <c r="C27">
        <v>3</v>
      </c>
      <c r="D27">
        <v>12.8389282226562</v>
      </c>
      <c r="E27">
        <v>5.1498173120011099</v>
      </c>
      <c r="F27">
        <v>7.2844903843880502</v>
      </c>
      <c r="G27">
        <v>2.3009754129986999</v>
      </c>
      <c r="H27">
        <v>7.6451296806335396</v>
      </c>
      <c r="I27">
        <v>2</v>
      </c>
      <c r="J27">
        <v>0.1</v>
      </c>
      <c r="K27">
        <v>1</v>
      </c>
      <c r="M27">
        <v>89.708860759493604</v>
      </c>
      <c r="N27">
        <v>93</v>
      </c>
      <c r="O27">
        <v>39</v>
      </c>
      <c r="P27">
        <v>127</v>
      </c>
      <c r="Q27">
        <v>7087</v>
      </c>
      <c r="R27">
        <v>21.3332242978388</v>
      </c>
      <c r="S27">
        <v>0.319647138235225</v>
      </c>
      <c r="T27">
        <v>2.0371445100258998</v>
      </c>
    </row>
    <row r="28" spans="1:24" x14ac:dyDescent="0.25">
      <c r="A28" t="s">
        <v>77</v>
      </c>
      <c r="B28">
        <v>8236722</v>
      </c>
      <c r="C28">
        <v>3</v>
      </c>
      <c r="D28">
        <v>15.975837707519499</v>
      </c>
      <c r="E28">
        <v>4.9715621194956903</v>
      </c>
      <c r="F28">
        <v>7.1329202216880399</v>
      </c>
      <c r="G28">
        <v>2.1496213951194201</v>
      </c>
      <c r="H28">
        <v>11.4676945209503</v>
      </c>
      <c r="I28">
        <v>3</v>
      </c>
      <c r="J28">
        <v>0.1</v>
      </c>
      <c r="K28">
        <v>1</v>
      </c>
      <c r="M28">
        <v>117.645569620253</v>
      </c>
      <c r="N28">
        <v>117</v>
      </c>
      <c r="O28">
        <v>63</v>
      </c>
      <c r="P28">
        <v>162</v>
      </c>
      <c r="Q28">
        <v>9294</v>
      </c>
      <c r="R28">
        <v>23.2996302241393</v>
      </c>
      <c r="S28">
        <v>0.30090126519281102</v>
      </c>
      <c r="T28">
        <v>2.3358030524298199</v>
      </c>
    </row>
    <row r="29" spans="1:24" x14ac:dyDescent="0.25">
      <c r="A29" t="s">
        <v>78</v>
      </c>
      <c r="B29">
        <v>8236710</v>
      </c>
      <c r="C29">
        <v>3</v>
      </c>
      <c r="D29">
        <v>7.6241073608398402</v>
      </c>
      <c r="E29">
        <v>5.25186010455353</v>
      </c>
      <c r="F29">
        <v>7.0680266494273098</v>
      </c>
      <c r="G29">
        <v>1.8865043146901901</v>
      </c>
      <c r="H29">
        <v>15.290259361266999</v>
      </c>
      <c r="I29">
        <v>4</v>
      </c>
      <c r="J29">
        <v>0.1</v>
      </c>
      <c r="K29">
        <v>1</v>
      </c>
      <c r="M29">
        <v>65.886075949366997</v>
      </c>
      <c r="N29">
        <v>67</v>
      </c>
      <c r="O29">
        <v>33</v>
      </c>
      <c r="P29">
        <v>85</v>
      </c>
      <c r="Q29">
        <v>5205</v>
      </c>
      <c r="R29">
        <v>11.546991329493</v>
      </c>
      <c r="S29">
        <v>0.25374608329803799</v>
      </c>
      <c r="T29">
        <v>2.3096414054266998</v>
      </c>
    </row>
    <row r="30" spans="1:24" x14ac:dyDescent="0.25">
      <c r="A30" t="s">
        <v>79</v>
      </c>
      <c r="B30">
        <v>8236705</v>
      </c>
      <c r="C30">
        <v>3</v>
      </c>
      <c r="D30">
        <v>2.6657543182372998</v>
      </c>
      <c r="E30">
        <v>5.2650123367214299</v>
      </c>
      <c r="F30">
        <v>7.1264283126864001</v>
      </c>
      <c r="G30">
        <v>2.0246804211604399</v>
      </c>
      <c r="H30">
        <v>19.112824201583798</v>
      </c>
      <c r="I30">
        <v>5</v>
      </c>
      <c r="J30">
        <v>0.1</v>
      </c>
      <c r="K30">
        <v>1</v>
      </c>
      <c r="M30">
        <v>25.582278481012601</v>
      </c>
      <c r="N30">
        <v>26</v>
      </c>
      <c r="O30">
        <v>14</v>
      </c>
      <c r="P30">
        <v>33</v>
      </c>
      <c r="Q30">
        <v>2021</v>
      </c>
      <c r="R30">
        <v>4.5898650752101098</v>
      </c>
      <c r="S30">
        <v>0.22487735401171</v>
      </c>
      <c r="T30">
        <v>2.0465502663373498</v>
      </c>
    </row>
    <row r="31" spans="1:24" x14ac:dyDescent="0.25">
      <c r="A31" t="s">
        <v>80</v>
      </c>
      <c r="B31">
        <v>8236702</v>
      </c>
      <c r="C31">
        <v>3</v>
      </c>
      <c r="D31">
        <v>5.06732177734375</v>
      </c>
      <c r="E31">
        <v>5.3392477145425801</v>
      </c>
      <c r="F31">
        <v>7.2297843795213499</v>
      </c>
      <c r="G31">
        <v>2.0779386875112</v>
      </c>
      <c r="H31">
        <v>22.935389041900599</v>
      </c>
      <c r="I31">
        <v>6</v>
      </c>
      <c r="J31">
        <v>0.1</v>
      </c>
      <c r="K31">
        <v>1</v>
      </c>
      <c r="M31">
        <v>44.037974683544299</v>
      </c>
      <c r="N31">
        <v>46</v>
      </c>
      <c r="O31">
        <v>21</v>
      </c>
      <c r="P31">
        <v>57</v>
      </c>
      <c r="Q31">
        <v>3479</v>
      </c>
      <c r="R31">
        <v>7.9959012544644201</v>
      </c>
      <c r="S31">
        <v>0.25550405765270101</v>
      </c>
      <c r="T31">
        <v>2.2416592231735799</v>
      </c>
    </row>
    <row r="32" spans="1:24" x14ac:dyDescent="0.25">
      <c r="A32" t="s">
        <v>81</v>
      </c>
      <c r="B32">
        <v>8236714</v>
      </c>
      <c r="C32">
        <v>3</v>
      </c>
      <c r="D32">
        <v>3.5579147338867099</v>
      </c>
      <c r="E32">
        <v>5.2273991416691397</v>
      </c>
      <c r="F32">
        <v>7.1874552295925698</v>
      </c>
      <c r="G32">
        <v>2.0376584689528099</v>
      </c>
      <c r="H32">
        <v>26.7579538822174</v>
      </c>
      <c r="I32">
        <v>7</v>
      </c>
      <c r="J32">
        <v>0.1</v>
      </c>
      <c r="K32">
        <v>1</v>
      </c>
      <c r="M32">
        <v>28.7088607594936</v>
      </c>
      <c r="N32">
        <v>29</v>
      </c>
      <c r="O32">
        <v>17</v>
      </c>
      <c r="P32">
        <v>38</v>
      </c>
      <c r="Q32">
        <v>2268</v>
      </c>
      <c r="R32">
        <v>4.9695273952002301</v>
      </c>
      <c r="S32">
        <v>0.27845973536096402</v>
      </c>
      <c r="T32">
        <v>2.5165537861396499</v>
      </c>
    </row>
    <row r="33" spans="1:20" x14ac:dyDescent="0.25">
      <c r="A33" t="s">
        <v>82</v>
      </c>
      <c r="B33">
        <v>8236730</v>
      </c>
      <c r="C33">
        <v>3</v>
      </c>
      <c r="D33">
        <v>10.6885375976562</v>
      </c>
      <c r="E33">
        <v>5.3662694788425798</v>
      </c>
      <c r="F33">
        <v>6.7553829875971303</v>
      </c>
      <c r="G33">
        <v>1.6493759254754901</v>
      </c>
      <c r="H33">
        <v>30.580518722534102</v>
      </c>
      <c r="I33">
        <v>8</v>
      </c>
      <c r="J33">
        <v>0.1</v>
      </c>
      <c r="K33">
        <v>1</v>
      </c>
      <c r="M33">
        <v>77.101265822784796</v>
      </c>
      <c r="N33">
        <v>79</v>
      </c>
      <c r="O33">
        <v>38</v>
      </c>
      <c r="P33">
        <v>107</v>
      </c>
      <c r="Q33">
        <v>6091</v>
      </c>
      <c r="R33">
        <v>17.356440418996499</v>
      </c>
      <c r="S33">
        <v>0.31278231950260799</v>
      </c>
      <c r="T33">
        <v>2.1168023986912501</v>
      </c>
    </row>
    <row r="34" spans="1:20" x14ac:dyDescent="0.25">
      <c r="A34" t="s">
        <v>83</v>
      </c>
      <c r="B34">
        <v>8236749</v>
      </c>
      <c r="C34">
        <v>3</v>
      </c>
      <c r="D34">
        <v>13.048881530761699</v>
      </c>
      <c r="E34">
        <v>5.6029692334497101</v>
      </c>
      <c r="F34">
        <v>6.87086639891871</v>
      </c>
      <c r="G34">
        <v>1.44351902951613</v>
      </c>
      <c r="H34">
        <v>34.403083562850902</v>
      </c>
      <c r="I34">
        <v>9</v>
      </c>
      <c r="J34">
        <v>0.1</v>
      </c>
      <c r="K34">
        <v>1</v>
      </c>
      <c r="M34">
        <v>78.696202531645497</v>
      </c>
      <c r="N34">
        <v>80</v>
      </c>
      <c r="O34">
        <v>36</v>
      </c>
      <c r="P34">
        <v>120</v>
      </c>
      <c r="Q34">
        <v>6217</v>
      </c>
      <c r="R34">
        <v>21.624033655823698</v>
      </c>
      <c r="S34">
        <v>0.36104742734476197</v>
      </c>
      <c r="T34">
        <v>1.93080341770355</v>
      </c>
    </row>
    <row r="35" spans="1:20" x14ac:dyDescent="0.25">
      <c r="A35" t="s">
        <v>84</v>
      </c>
      <c r="B35">
        <v>8236734</v>
      </c>
      <c r="C35">
        <v>3</v>
      </c>
      <c r="D35">
        <v>9.5575370788574201</v>
      </c>
      <c r="E35">
        <v>5.845052163099</v>
      </c>
      <c r="F35">
        <v>6.9690625665002202</v>
      </c>
      <c r="G35">
        <v>1.3040608111856999</v>
      </c>
      <c r="H35">
        <v>38.225648403167703</v>
      </c>
      <c r="I35">
        <v>10</v>
      </c>
      <c r="J35">
        <v>0.1</v>
      </c>
      <c r="K35">
        <v>1</v>
      </c>
      <c r="M35">
        <v>60.151898734177202</v>
      </c>
      <c r="N35">
        <v>61</v>
      </c>
      <c r="O35">
        <v>28</v>
      </c>
      <c r="P35">
        <v>90</v>
      </c>
      <c r="Q35">
        <v>4752</v>
      </c>
      <c r="R35">
        <v>15.940666111934499</v>
      </c>
      <c r="S35">
        <v>0.35929311545592801</v>
      </c>
      <c r="T35">
        <v>1.99484267050747</v>
      </c>
    </row>
    <row r="36" spans="1:20" x14ac:dyDescent="0.25">
      <c r="A36" t="s">
        <v>85</v>
      </c>
      <c r="B36">
        <v>8236739</v>
      </c>
      <c r="C36">
        <v>3</v>
      </c>
      <c r="D36">
        <v>9.3320503234863192</v>
      </c>
      <c r="E36">
        <v>5.8354027939061703</v>
      </c>
      <c r="F36">
        <v>7.0042937391468101</v>
      </c>
      <c r="G36">
        <v>1.35029915314798</v>
      </c>
      <c r="H36">
        <v>42.048213243484497</v>
      </c>
      <c r="I36">
        <v>11</v>
      </c>
      <c r="J36">
        <v>0.1</v>
      </c>
      <c r="K36">
        <v>1</v>
      </c>
      <c r="M36">
        <v>57.898734177215097</v>
      </c>
      <c r="N36">
        <v>59</v>
      </c>
      <c r="O36">
        <v>28</v>
      </c>
      <c r="P36">
        <v>88</v>
      </c>
      <c r="Q36">
        <v>4574</v>
      </c>
      <c r="R36">
        <v>15.2950427168571</v>
      </c>
      <c r="S36">
        <v>0.35688920147288</v>
      </c>
      <c r="T36">
        <v>1.9913032002833699</v>
      </c>
    </row>
    <row r="37" spans="1:20" x14ac:dyDescent="0.25">
      <c r="A37" t="s">
        <v>86</v>
      </c>
      <c r="B37">
        <v>8236747</v>
      </c>
      <c r="C37">
        <v>3</v>
      </c>
      <c r="D37">
        <v>12.1859436035156</v>
      </c>
      <c r="E37">
        <v>5.7750444252528501</v>
      </c>
      <c r="F37">
        <v>7.1497108860779903</v>
      </c>
      <c r="G37">
        <v>1.3842608362362401</v>
      </c>
      <c r="H37">
        <v>45.870778083801198</v>
      </c>
      <c r="I37">
        <v>12</v>
      </c>
      <c r="J37">
        <v>0.1</v>
      </c>
      <c r="K37">
        <v>1</v>
      </c>
      <c r="M37">
        <v>83.822784810126507</v>
      </c>
      <c r="N37">
        <v>85</v>
      </c>
      <c r="O37">
        <v>43</v>
      </c>
      <c r="P37">
        <v>119</v>
      </c>
      <c r="Q37">
        <v>6622</v>
      </c>
      <c r="R37">
        <v>19.551221021395499</v>
      </c>
      <c r="S37">
        <v>0.32691634942152797</v>
      </c>
      <c r="T37">
        <v>2.1125708885640702</v>
      </c>
    </row>
    <row r="38" spans="1:20" x14ac:dyDescent="0.25">
      <c r="A38" t="s">
        <v>87</v>
      </c>
      <c r="B38">
        <v>8236736</v>
      </c>
      <c r="C38">
        <v>3</v>
      </c>
      <c r="D38">
        <v>10.9921340942382</v>
      </c>
      <c r="E38">
        <v>5.8680123315021504</v>
      </c>
      <c r="F38">
        <v>7.2928088609172201</v>
      </c>
      <c r="G38">
        <v>1.60301001177569</v>
      </c>
      <c r="H38">
        <v>49.693342924117999</v>
      </c>
      <c r="I38">
        <v>13</v>
      </c>
      <c r="J38">
        <v>0.1</v>
      </c>
      <c r="K38">
        <v>1</v>
      </c>
      <c r="M38">
        <v>77.050632911392398</v>
      </c>
      <c r="N38">
        <v>80</v>
      </c>
      <c r="O38">
        <v>40</v>
      </c>
      <c r="P38">
        <v>108</v>
      </c>
      <c r="Q38">
        <v>6087</v>
      </c>
      <c r="R38">
        <v>16.520305092930801</v>
      </c>
      <c r="S38">
        <v>0.32079793235801801</v>
      </c>
      <c r="T38">
        <v>2.2656004522087101</v>
      </c>
    </row>
    <row r="39" spans="1:20" x14ac:dyDescent="0.25">
      <c r="A39" t="s">
        <v>88</v>
      </c>
      <c r="B39">
        <v>8236741</v>
      </c>
      <c r="C39">
        <v>3</v>
      </c>
      <c r="D39">
        <v>9.3090324401855398</v>
      </c>
      <c r="E39">
        <v>5.7483515162504801</v>
      </c>
      <c r="F39">
        <v>7.3500774710385999</v>
      </c>
      <c r="G39">
        <v>1.6155374605535</v>
      </c>
      <c r="H39">
        <v>53.5159077644348</v>
      </c>
      <c r="I39">
        <v>14</v>
      </c>
      <c r="J39">
        <v>0.1</v>
      </c>
      <c r="K39">
        <v>1</v>
      </c>
      <c r="M39">
        <v>68.012658227848107</v>
      </c>
      <c r="N39">
        <v>70</v>
      </c>
      <c r="O39">
        <v>34</v>
      </c>
      <c r="P39">
        <v>94</v>
      </c>
      <c r="Q39">
        <v>5373</v>
      </c>
      <c r="R39">
        <v>14.4359715160588</v>
      </c>
      <c r="S39">
        <v>0.30774163604274002</v>
      </c>
      <c r="T39">
        <v>2.21736932734051</v>
      </c>
    </row>
    <row r="40" spans="1:20" x14ac:dyDescent="0.25">
      <c r="A40" t="s">
        <v>89</v>
      </c>
      <c r="B40">
        <v>8236744</v>
      </c>
      <c r="C40">
        <v>3</v>
      </c>
      <c r="D40">
        <v>11.9292755126953</v>
      </c>
      <c r="E40">
        <v>5.7979544896624802</v>
      </c>
      <c r="F40">
        <v>7.3740381988496804</v>
      </c>
      <c r="G40">
        <v>1.65184029780137</v>
      </c>
      <c r="H40">
        <v>57.338472604751502</v>
      </c>
      <c r="I40">
        <v>15</v>
      </c>
      <c r="J40">
        <v>0.1</v>
      </c>
      <c r="K40">
        <v>1</v>
      </c>
      <c r="M40">
        <v>88.4050632911392</v>
      </c>
      <c r="N40">
        <v>91</v>
      </c>
      <c r="O40">
        <v>42</v>
      </c>
      <c r="P40">
        <v>124</v>
      </c>
      <c r="Q40">
        <v>6984</v>
      </c>
      <c r="R40">
        <v>19.334119560057701</v>
      </c>
      <c r="S40">
        <v>0.29795831132848299</v>
      </c>
      <c r="T40">
        <v>2.0993144527937901</v>
      </c>
    </row>
    <row r="41" spans="1:20" x14ac:dyDescent="0.25">
      <c r="A41" t="s">
        <v>90</v>
      </c>
      <c r="B41">
        <v>8236757</v>
      </c>
      <c r="C41">
        <v>3</v>
      </c>
      <c r="D41">
        <v>8.2181243896484304</v>
      </c>
      <c r="E41">
        <v>5.7820487427985903</v>
      </c>
      <c r="F41">
        <v>7.6644837696284602</v>
      </c>
      <c r="G41">
        <v>1.3817815622273399</v>
      </c>
      <c r="H41">
        <v>61.161037445068303</v>
      </c>
      <c r="I41">
        <v>16</v>
      </c>
      <c r="J41">
        <v>0.1</v>
      </c>
      <c r="K41">
        <v>1</v>
      </c>
      <c r="M41">
        <v>61.101265822784796</v>
      </c>
      <c r="N41">
        <v>62</v>
      </c>
      <c r="O41">
        <v>30</v>
      </c>
      <c r="P41">
        <v>85</v>
      </c>
      <c r="Q41">
        <v>4827</v>
      </c>
      <c r="R41">
        <v>13.2496685364528</v>
      </c>
      <c r="S41">
        <v>0.29503447895527901</v>
      </c>
      <c r="T41">
        <v>2.1011963155968099</v>
      </c>
    </row>
    <row r="42" spans="1:20" x14ac:dyDescent="0.25">
      <c r="A42" t="s">
        <v>91</v>
      </c>
      <c r="B42">
        <v>8236752</v>
      </c>
      <c r="C42">
        <v>3</v>
      </c>
      <c r="D42">
        <v>8.5431060791015607</v>
      </c>
      <c r="E42">
        <v>5.5151603912127101</v>
      </c>
      <c r="F42">
        <v>7.8041293597246204</v>
      </c>
      <c r="G42">
        <v>1.30276537894419</v>
      </c>
      <c r="H42">
        <v>64.983602285385103</v>
      </c>
      <c r="I42">
        <v>17</v>
      </c>
      <c r="J42">
        <v>0.1</v>
      </c>
      <c r="K42">
        <v>1</v>
      </c>
      <c r="M42">
        <v>78.227848101265806</v>
      </c>
      <c r="N42">
        <v>81</v>
      </c>
      <c r="O42">
        <v>48</v>
      </c>
      <c r="P42">
        <v>100</v>
      </c>
      <c r="Q42">
        <v>6180</v>
      </c>
      <c r="R42">
        <v>13.599537479963701</v>
      </c>
      <c r="S42">
        <v>0.245830990773862</v>
      </c>
      <c r="T42">
        <v>2.2700987141066</v>
      </c>
    </row>
    <row r="43" spans="1:20" x14ac:dyDescent="0.25">
      <c r="A43" t="s">
        <v>92</v>
      </c>
      <c r="B43">
        <v>8236761</v>
      </c>
      <c r="C43">
        <v>3</v>
      </c>
      <c r="D43">
        <v>15.3779525756835</v>
      </c>
      <c r="E43">
        <v>5.7163557445329403</v>
      </c>
      <c r="F43">
        <v>7.7033318413323304</v>
      </c>
      <c r="G43">
        <v>1.0653375619282801</v>
      </c>
      <c r="H43">
        <v>68.806167125701904</v>
      </c>
      <c r="I43">
        <v>18</v>
      </c>
      <c r="J43">
        <v>0.1</v>
      </c>
      <c r="K43">
        <v>1</v>
      </c>
      <c r="M43">
        <v>108.25316455696201</v>
      </c>
      <c r="N43">
        <v>110</v>
      </c>
      <c r="O43">
        <v>52</v>
      </c>
      <c r="P43">
        <v>152</v>
      </c>
      <c r="Q43">
        <v>8552</v>
      </c>
      <c r="R43">
        <v>23.711118431931599</v>
      </c>
      <c r="S43">
        <v>0.31450223376827402</v>
      </c>
      <c r="T43">
        <v>2.1846454408251299</v>
      </c>
    </row>
    <row r="44" spans="1:20" x14ac:dyDescent="0.25">
      <c r="A44" t="s">
        <v>93</v>
      </c>
      <c r="B44">
        <v>8236765</v>
      </c>
      <c r="C44">
        <v>3</v>
      </c>
      <c r="D44">
        <v>18.622520446777301</v>
      </c>
      <c r="E44">
        <v>6.03853750966619</v>
      </c>
      <c r="F44">
        <v>7.7876632045074201</v>
      </c>
      <c r="G44">
        <v>1.17298051689623</v>
      </c>
      <c r="H44">
        <v>72.628731966018606</v>
      </c>
      <c r="I44">
        <v>19</v>
      </c>
      <c r="J44">
        <v>0.1</v>
      </c>
      <c r="K44">
        <v>1</v>
      </c>
      <c r="M44">
        <v>123.101265822784</v>
      </c>
      <c r="N44">
        <v>120</v>
      </c>
      <c r="O44">
        <v>70</v>
      </c>
      <c r="P44">
        <v>180</v>
      </c>
      <c r="Q44">
        <v>9725</v>
      </c>
      <c r="R44">
        <v>29.085900600836901</v>
      </c>
      <c r="S44">
        <v>0.34244580895972299</v>
      </c>
      <c r="T44">
        <v>2.1592607518831799</v>
      </c>
    </row>
    <row r="48" spans="1:20" x14ac:dyDescent="0.25">
      <c r="E48">
        <v>5.4273370375629897</v>
      </c>
      <c r="F48">
        <v>6.6669503279533799</v>
      </c>
      <c r="G48">
        <v>2.0319881969928799</v>
      </c>
      <c r="H48">
        <v>0</v>
      </c>
      <c r="I48">
        <v>0</v>
      </c>
    </row>
    <row r="49" spans="5:9" x14ac:dyDescent="0.25">
      <c r="E49">
        <v>5.3604714098892003</v>
      </c>
      <c r="F49">
        <v>6.5728619701167403</v>
      </c>
      <c r="G49">
        <v>1.83895145940502</v>
      </c>
      <c r="H49">
        <v>3.8225648403167698</v>
      </c>
      <c r="I49">
        <v>1</v>
      </c>
    </row>
    <row r="50" spans="5:9" x14ac:dyDescent="0.25">
      <c r="E50">
        <v>5.3778021603455004</v>
      </c>
      <c r="F50">
        <v>6.5064488178949702</v>
      </c>
      <c r="G50">
        <v>1.84533736549945</v>
      </c>
      <c r="H50">
        <v>7.6451296806335396</v>
      </c>
      <c r="I50">
        <v>2</v>
      </c>
    </row>
    <row r="51" spans="5:9" x14ac:dyDescent="0.25">
      <c r="E51">
        <v>5.41205150514525</v>
      </c>
      <c r="F51">
        <v>6.4104935391352997</v>
      </c>
      <c r="G51">
        <v>1.7551093842865899</v>
      </c>
      <c r="H51">
        <v>11.4676945209503</v>
      </c>
      <c r="I51">
        <v>3</v>
      </c>
    </row>
    <row r="52" spans="5:9" x14ac:dyDescent="0.25">
      <c r="E52">
        <v>5.4115711027652296</v>
      </c>
      <c r="F52">
        <v>6.39241073557859</v>
      </c>
      <c r="G52">
        <v>1.74805512936694</v>
      </c>
      <c r="H52">
        <v>15.290259361266999</v>
      </c>
      <c r="I52">
        <v>4</v>
      </c>
    </row>
    <row r="53" spans="5:9" x14ac:dyDescent="0.25">
      <c r="E53">
        <v>5.48907654303546</v>
      </c>
      <c r="F53">
        <v>6.3665945975832203</v>
      </c>
      <c r="G53">
        <v>1.7160060086439599</v>
      </c>
      <c r="H53">
        <v>19.112824201583798</v>
      </c>
      <c r="I53">
        <v>5</v>
      </c>
    </row>
    <row r="54" spans="5:9" x14ac:dyDescent="0.25">
      <c r="E54">
        <v>5.5601402879380997</v>
      </c>
      <c r="F54">
        <v>6.3242571425515699</v>
      </c>
      <c r="G54">
        <v>1.8356242694632401</v>
      </c>
      <c r="H54">
        <v>22.935389041900599</v>
      </c>
      <c r="I54">
        <v>6</v>
      </c>
    </row>
    <row r="55" spans="5:9" x14ac:dyDescent="0.25">
      <c r="E55">
        <v>5.6077074447278799</v>
      </c>
      <c r="F55">
        <v>6.3312326434685096</v>
      </c>
      <c r="G55">
        <v>1.69182623122293</v>
      </c>
      <c r="H55">
        <v>26.7579538822174</v>
      </c>
      <c r="I55">
        <v>7</v>
      </c>
    </row>
    <row r="56" spans="5:9" x14ac:dyDescent="0.25">
      <c r="E56">
        <v>5.3584248989625296</v>
      </c>
      <c r="F56">
        <v>6.44166701720125</v>
      </c>
      <c r="G56">
        <v>1.5648426771986801</v>
      </c>
      <c r="H56">
        <v>30.580518722534102</v>
      </c>
      <c r="I56">
        <v>8</v>
      </c>
    </row>
    <row r="57" spans="5:9" x14ac:dyDescent="0.25">
      <c r="E57">
        <v>5.4629585484694196</v>
      </c>
      <c r="F57">
        <v>6.4960003202671102</v>
      </c>
      <c r="G57">
        <v>1.5332988191699799</v>
      </c>
      <c r="H57">
        <v>34.403083562850902</v>
      </c>
      <c r="I57">
        <v>9</v>
      </c>
    </row>
    <row r="58" spans="5:9" x14ac:dyDescent="0.25">
      <c r="E58">
        <v>5.5622774481315602</v>
      </c>
      <c r="F58">
        <v>6.5911833600560001</v>
      </c>
      <c r="G58">
        <v>1.49388039569797</v>
      </c>
      <c r="H58">
        <v>38.225648403167703</v>
      </c>
      <c r="I58">
        <v>10</v>
      </c>
    </row>
    <row r="59" spans="5:9" x14ac:dyDescent="0.25">
      <c r="E59">
        <v>5.5082647588750504</v>
      </c>
      <c r="F59">
        <v>6.61669805263762</v>
      </c>
      <c r="G59">
        <v>1.5527233938829299</v>
      </c>
      <c r="H59">
        <v>42.048213243484497</v>
      </c>
      <c r="I59">
        <v>11</v>
      </c>
    </row>
    <row r="60" spans="5:9" x14ac:dyDescent="0.25">
      <c r="E60">
        <v>5.4825754885182798</v>
      </c>
      <c r="F60">
        <v>6.6107553164263804</v>
      </c>
      <c r="G60">
        <v>1.6421713012932599</v>
      </c>
      <c r="H60">
        <v>45.870778083801198</v>
      </c>
      <c r="I60">
        <v>12</v>
      </c>
    </row>
    <row r="61" spans="5:9" x14ac:dyDescent="0.25">
      <c r="E61">
        <v>5.5724805653718397</v>
      </c>
      <c r="F61">
        <v>6.5793522135450102</v>
      </c>
      <c r="G61">
        <v>1.6949511384036799</v>
      </c>
      <c r="H61">
        <v>49.693342924117999</v>
      </c>
      <c r="I61">
        <v>13</v>
      </c>
    </row>
    <row r="62" spans="5:9" x14ac:dyDescent="0.25">
      <c r="E62">
        <v>5.5287686589123597</v>
      </c>
      <c r="F62">
        <v>6.4992053693658001</v>
      </c>
      <c r="G62">
        <v>1.61389614668407</v>
      </c>
      <c r="H62">
        <v>53.5159077644348</v>
      </c>
      <c r="I62">
        <v>14</v>
      </c>
    </row>
    <row r="63" spans="5:9" x14ac:dyDescent="0.25">
      <c r="E63">
        <v>5.5179137788180501</v>
      </c>
      <c r="F63">
        <v>6.4928425462541997</v>
      </c>
      <c r="G63">
        <v>1.63334865103986</v>
      </c>
      <c r="H63">
        <v>57.338472604751502</v>
      </c>
      <c r="I63">
        <v>15</v>
      </c>
    </row>
    <row r="64" spans="5:9" x14ac:dyDescent="0.25">
      <c r="E64">
        <v>5.5742341236029098</v>
      </c>
      <c r="F64">
        <v>6.6021797605564299</v>
      </c>
      <c r="G64">
        <v>1.6242148779504899</v>
      </c>
      <c r="H64">
        <v>61.161037445068303</v>
      </c>
      <c r="I64">
        <v>16</v>
      </c>
    </row>
    <row r="65" spans="5:9" x14ac:dyDescent="0.25">
      <c r="E65">
        <v>5.6251668666368504</v>
      </c>
      <c r="F65">
        <v>6.6479085527547204</v>
      </c>
      <c r="G65">
        <v>1.4530904005780001</v>
      </c>
      <c r="H65">
        <v>64.983602285385103</v>
      </c>
      <c r="I65">
        <v>17</v>
      </c>
    </row>
    <row r="66" spans="5:9" x14ac:dyDescent="0.25">
      <c r="E66">
        <v>5.5025577944857096</v>
      </c>
      <c r="F66">
        <v>6.5728950510030097</v>
      </c>
      <c r="G66">
        <v>1.57834473796435</v>
      </c>
      <c r="H66">
        <v>68.806167125701904</v>
      </c>
      <c r="I66">
        <v>18</v>
      </c>
    </row>
    <row r="67" spans="5:9" x14ac:dyDescent="0.25">
      <c r="E67">
        <v>5.4008348892300004</v>
      </c>
      <c r="F67">
        <v>6.5987157522692099</v>
      </c>
      <c r="G67">
        <v>1.5855475475921701</v>
      </c>
      <c r="H67">
        <v>72.628731966018606</v>
      </c>
      <c r="I67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240627_WT_11_Cell 3_Kar9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2024-12-11T02:53:08Z</dcterms:created>
  <dcterms:modified xsi:type="dcterms:W3CDTF">2024-12-11T02:57:49Z</dcterms:modified>
</cp:coreProperties>
</file>