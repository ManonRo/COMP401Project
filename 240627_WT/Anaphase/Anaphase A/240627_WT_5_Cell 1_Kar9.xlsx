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Anaphase A\"/>
    </mc:Choice>
  </mc:AlternateContent>
  <xr:revisionPtr revIDLastSave="0" documentId="13_ncr:1_{61F4CBCC-3ECD-4946-8121-8AC7BD387A4F}" xr6:coauthVersionLast="45" xr6:coauthVersionMax="45" xr10:uidLastSave="{00000000-0000-0000-0000-000000000000}"/>
  <bookViews>
    <workbookView xWindow="945" yWindow="420" windowWidth="24165" windowHeight="14565" xr2:uid="{00000000-000D-0000-FFFF-FFFF00000000}"/>
  </bookViews>
  <sheets>
    <sheet name="240627_WT_5_Cell 1_Kar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19" i="1" l="1"/>
  <c r="W20" i="1"/>
  <c r="W21" i="1"/>
  <c r="W22" i="1"/>
  <c r="W23" i="1"/>
  <c r="W18" i="1"/>
  <c r="V17" i="1"/>
  <c r="V18" i="1"/>
  <c r="V19" i="1"/>
  <c r="V20" i="1"/>
  <c r="V21" i="1"/>
  <c r="V22" i="1"/>
  <c r="V23" i="1"/>
</calcChain>
</file>

<file path=xl/sharedStrings.xml><?xml version="1.0" encoding="utf-8"?>
<sst xmlns="http://schemas.openxmlformats.org/spreadsheetml/2006/main" count="91" uniqueCount="73">
  <si>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</si>
  <si>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</si>
  <si>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</si>
  <si>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</si>
  <si>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</si>
  <si>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</si>
  <si>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</si>
  <si>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</si>
  <si>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</si>
  <si>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</si>
  <si>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</si>
  <si>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</si>
  <si>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</si>
  <si>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</si>
  <si>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</si>
  <si>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</si>
  <si>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</si>
  <si>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</si>
  <si>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CONTRAST_CH1</t>
  </si>
  <si>
    <t>SNR_CH1</t>
  </si>
  <si>
    <t>Label</t>
  </si>
  <si>
    <t>Spot ID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</si>
  <si>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</si>
  <si>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</si>
  <si>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</si>
  <si>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</si>
  <si>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</si>
  <si>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</si>
  <si>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</si>
  <si>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</si>
  <si>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</si>
  <si>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</si>
  <si>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</si>
  <si>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</si>
  <si>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</si>
  <si>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</si>
  <si>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</si>
  <si>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</si>
  <si>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Contrast ch1</t>
  </si>
  <si>
    <t>Signal/Noise ratio ch1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</si>
  <si>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</si>
  <si>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</si>
  <si>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</si>
  <si>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</si>
  <si>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</si>
  <si>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</si>
  <si>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</si>
  <si>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</si>
  <si>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Ctrst ch1</t>
  </si>
  <si>
    <t>SNR ch1</t>
  </si>
  <si>
    <t>(quality)</t>
  </si>
  <si>
    <t>(micron)</t>
  </si>
  <si>
    <t>(sec)</t>
  </si>
  <si>
    <t>(counts)</t>
  </si>
  <si>
    <t>ID2165556</t>
  </si>
  <si>
    <t>ID2165553</t>
  </si>
  <si>
    <t>ID2165543</t>
  </si>
  <si>
    <t>ID2165542</t>
  </si>
  <si>
    <t>ID2165550</t>
  </si>
  <si>
    <t>ID2165548</t>
  </si>
  <si>
    <t>ID2165539</t>
  </si>
  <si>
    <t>ID2165534</t>
  </si>
  <si>
    <t>ID2165562</t>
  </si>
  <si>
    <t>ID2165574</t>
  </si>
  <si>
    <t>ID2165568</t>
  </si>
  <si>
    <t>ID2165573</t>
  </si>
  <si>
    <t>ID2165584</t>
  </si>
  <si>
    <t>ID2165593</t>
  </si>
  <si>
    <t>ID2165590</t>
  </si>
  <si>
    <t>ID2165598</t>
  </si>
  <si>
    <t>ID2165605</t>
  </si>
  <si>
    <t>ID2165601</t>
  </si>
  <si>
    <t>ID2165608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</si>
</sst>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'240627_WT_5_Cell 1_Kar9'!$H$17:$H$23</c:f>
              <c:numCache>
                <c:formatCode>General</c:formatCode>
                <c:ptCount val="7"/>
                <c:pt idx="0">
                  <c:v>49.693559885025003</c:v>
                </c:pt>
                <c:pt idx="1">
                  <c:v>53.516141414642298</c:v>
                </c:pt>
                <c:pt idx="2">
                  <c:v>57.338722944259601</c:v>
                </c:pt>
                <c:pt idx="3">
                  <c:v>61.161304473876903</c:v>
                </c:pt>
                <c:pt idx="4">
                  <c:v>64.983886003494206</c:v>
                </c:pt>
                <c:pt idx="5">
                  <c:v>68.806467533111501</c:v>
                </c:pt>
                <c:pt idx="6">
                  <c:v>72.629049062728797</c:v>
                </c:pt>
              </c:numCache>
            </c:numRef>
          </c:xVal>
          <c:yVal>
            <c:numRef>
              <c:f>'240627_WT_5_Cell 1_Kar9'!$V$17:$V$23</c:f>
              <c:numCache>
                <c:formatCode>General</c:formatCode>
                <c:ptCount val="7"/>
                <c:pt idx="0">
                  <c:v>1.2620193343554953</c:v>
                </c:pt>
                <c:pt idx="1">
                  <c:v>1.3426275203565412</c:v>
                </c:pt>
                <c:pt idx="2">
                  <c:v>1.5221238003974968</c:v>
                </c:pt>
                <c:pt idx="3">
                  <c:v>2.0270083519226998</c:v>
                </c:pt>
                <c:pt idx="4">
                  <c:v>1.6247591872629055</c:v>
                </c:pt>
                <c:pt idx="5">
                  <c:v>1.5739360298670078</c:v>
                </c:pt>
                <c:pt idx="6">
                  <c:v>1.5720036923910656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B-41E9-8970-9E14518C4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873984"/>
        <c:axId val="521930688"/>
      </c:scatterChart>
      <c:valAx>
        <c:axId val="58287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930688"/>
        <c:crosses val="autoZero"/>
        <c:crossBetween val="midCat"/>
      </c:valAx>
      <c:valAx>
        <c:axId val="52193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87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595312</xdr:colOff>
      <xdr:row>14</xdr:row>
      <xdr:rowOff>171450</xdr:rowOff>
    </xdr:from>
    <xdr:to>
      <xdr:col>22</xdr:col>
      <xdr:colOff>290512</xdr:colOff>
      <xdr:row>29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930429-D45D-40EA-B281-D066D40D0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activeCell="W26" sqref="W2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40</v>
      </c>
      <c r="K3" t="s">
        <v>30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</row>
    <row r="4" spans="1:20" x14ac:dyDescent="0.25">
      <c r="D4" t="s">
        <v>50</v>
      </c>
      <c r="E4" t="s">
        <v>51</v>
      </c>
      <c r="F4" t="s">
        <v>51</v>
      </c>
      <c r="G4" t="s">
        <v>51</v>
      </c>
      <c r="H4" t="s">
        <v>52</v>
      </c>
      <c r="J4" t="s">
        <v>51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</row>
    <row r="5" spans="1:20" x14ac:dyDescent="0.25">
      <c r="A5" t="s">
        <v>54</v>
      </c>
      <c r="B5">
        <v>2165556</v>
      </c>
      <c r="C5">
        <v>1</v>
      </c>
      <c r="D5">
        <v>29.127914428710898</v>
      </c>
      <c r="E5">
        <v>4.5295859992156497</v>
      </c>
      <c r="F5">
        <v>4.4459863175617196</v>
      </c>
      <c r="G5">
        <v>2.1558503180097599</v>
      </c>
      <c r="H5">
        <v>0</v>
      </c>
      <c r="I5">
        <v>0</v>
      </c>
      <c r="J5">
        <v>0.1</v>
      </c>
      <c r="K5">
        <v>1</v>
      </c>
      <c r="M5">
        <v>196.12658227848101</v>
      </c>
      <c r="N5">
        <v>195</v>
      </c>
      <c r="O5">
        <v>112</v>
      </c>
      <c r="P5">
        <v>283</v>
      </c>
      <c r="Q5">
        <v>15494</v>
      </c>
      <c r="R5">
        <v>43.28775722244</v>
      </c>
      <c r="S5">
        <v>0.33401080130118799</v>
      </c>
      <c r="T5">
        <v>2.2688330302009501</v>
      </c>
    </row>
    <row r="6" spans="1:20" x14ac:dyDescent="0.25">
      <c r="A6" t="s">
        <v>55</v>
      </c>
      <c r="B6">
        <v>2165553</v>
      </c>
      <c r="C6">
        <v>1</v>
      </c>
      <c r="D6">
        <v>32.6469116210937</v>
      </c>
      <c r="E6">
        <v>4.6173246802701398</v>
      </c>
      <c r="F6">
        <v>4.6704852196347799</v>
      </c>
      <c r="G6">
        <v>2.15429144704563</v>
      </c>
      <c r="H6">
        <v>3.8225815296172998</v>
      </c>
      <c r="I6">
        <v>1</v>
      </c>
      <c r="J6">
        <v>0.1</v>
      </c>
      <c r="K6">
        <v>1</v>
      </c>
      <c r="M6">
        <v>256.88607594936701</v>
      </c>
      <c r="N6">
        <v>259</v>
      </c>
      <c r="O6">
        <v>129</v>
      </c>
      <c r="P6">
        <v>342</v>
      </c>
      <c r="Q6">
        <v>20294</v>
      </c>
      <c r="R6">
        <v>51.9491830941354</v>
      </c>
      <c r="S6">
        <v>0.26953113290931802</v>
      </c>
      <c r="T6">
        <v>2.0997008252926199</v>
      </c>
    </row>
    <row r="7" spans="1:20" x14ac:dyDescent="0.25">
      <c r="A7" t="s">
        <v>56</v>
      </c>
      <c r="B7">
        <v>2165543</v>
      </c>
      <c r="C7">
        <v>1</v>
      </c>
      <c r="D7">
        <v>64.454193115234304</v>
      </c>
      <c r="E7">
        <v>4.9190790771362796</v>
      </c>
      <c r="F7">
        <v>4.6210006132881603</v>
      </c>
      <c r="G7">
        <v>2.1967367592084801</v>
      </c>
      <c r="H7">
        <v>7.6451630592346103</v>
      </c>
      <c r="I7">
        <v>2</v>
      </c>
      <c r="J7">
        <v>0.1</v>
      </c>
      <c r="K7">
        <v>1</v>
      </c>
      <c r="M7">
        <v>430.59493670886002</v>
      </c>
      <c r="N7">
        <v>431</v>
      </c>
      <c r="O7">
        <v>224</v>
      </c>
      <c r="P7">
        <v>613</v>
      </c>
      <c r="Q7">
        <v>34017</v>
      </c>
      <c r="R7">
        <v>89.583297290965902</v>
      </c>
      <c r="S7">
        <v>0.33247998579398302</v>
      </c>
      <c r="T7">
        <v>2.3987041345420499</v>
      </c>
    </row>
    <row r="8" spans="1:20" x14ac:dyDescent="0.25">
      <c r="A8" t="s">
        <v>57</v>
      </c>
      <c r="B8">
        <v>2165542</v>
      </c>
      <c r="C8">
        <v>1</v>
      </c>
      <c r="D8">
        <v>23.307174682617099</v>
      </c>
      <c r="E8">
        <v>4.7564029182054002</v>
      </c>
      <c r="F8">
        <v>4.6178290317214197</v>
      </c>
      <c r="G8">
        <v>2.11233468125989</v>
      </c>
      <c r="H8">
        <v>11.4677445888519</v>
      </c>
      <c r="I8">
        <v>3</v>
      </c>
      <c r="J8">
        <v>0.1</v>
      </c>
      <c r="K8">
        <v>1</v>
      </c>
      <c r="M8">
        <v>185.68354430379699</v>
      </c>
      <c r="N8">
        <v>183</v>
      </c>
      <c r="O8">
        <v>100</v>
      </c>
      <c r="P8">
        <v>247</v>
      </c>
      <c r="Q8">
        <v>14669</v>
      </c>
      <c r="R8">
        <v>36.395457699045501</v>
      </c>
      <c r="S8">
        <v>0.27510353135422699</v>
      </c>
      <c r="T8">
        <v>2.2014404614779002</v>
      </c>
    </row>
    <row r="9" spans="1:20" x14ac:dyDescent="0.25">
      <c r="A9" t="s">
        <v>58</v>
      </c>
      <c r="B9">
        <v>2165550</v>
      </c>
      <c r="C9">
        <v>1</v>
      </c>
      <c r="D9">
        <v>15.8710021972656</v>
      </c>
      <c r="E9">
        <v>4.65089025181432</v>
      </c>
      <c r="F9">
        <v>4.7376029667975201</v>
      </c>
      <c r="G9">
        <v>2.2047723259633298</v>
      </c>
      <c r="H9">
        <v>15.290326118469199</v>
      </c>
      <c r="I9">
        <v>4</v>
      </c>
      <c r="J9">
        <v>0.1</v>
      </c>
      <c r="K9">
        <v>1</v>
      </c>
      <c r="M9">
        <v>132.79746835443001</v>
      </c>
      <c r="N9">
        <v>138</v>
      </c>
      <c r="O9">
        <v>56</v>
      </c>
      <c r="P9">
        <v>176</v>
      </c>
      <c r="Q9">
        <v>10491</v>
      </c>
      <c r="R9">
        <v>28.248158436384099</v>
      </c>
      <c r="S9">
        <v>0.24824170826635</v>
      </c>
      <c r="T9">
        <v>1.86984545189394</v>
      </c>
    </row>
    <row r="10" spans="1:20" x14ac:dyDescent="0.25">
      <c r="A10" t="s">
        <v>59</v>
      </c>
      <c r="B10">
        <v>2165548</v>
      </c>
      <c r="C10">
        <v>1</v>
      </c>
      <c r="D10">
        <v>7.9951248168945304</v>
      </c>
      <c r="E10">
        <v>4.6597806651067204</v>
      </c>
      <c r="F10">
        <v>4.8033495467248404</v>
      </c>
      <c r="G10">
        <v>2.2045773309011798</v>
      </c>
      <c r="H10">
        <v>19.112907648086502</v>
      </c>
      <c r="I10">
        <v>5</v>
      </c>
      <c r="J10">
        <v>0.1</v>
      </c>
      <c r="K10">
        <v>1</v>
      </c>
      <c r="M10">
        <v>71.873417721518905</v>
      </c>
      <c r="N10">
        <v>72</v>
      </c>
      <c r="O10">
        <v>33</v>
      </c>
      <c r="P10">
        <v>98</v>
      </c>
      <c r="Q10">
        <v>5678</v>
      </c>
      <c r="R10">
        <v>15.793837721221999</v>
      </c>
      <c r="S10">
        <v>0.22481263017618799</v>
      </c>
      <c r="T10">
        <v>1.6705584354065699</v>
      </c>
    </row>
    <row r="11" spans="1:20" x14ac:dyDescent="0.25">
      <c r="A11" t="s">
        <v>60</v>
      </c>
      <c r="B11">
        <v>2165539</v>
      </c>
      <c r="C11">
        <v>1</v>
      </c>
      <c r="D11">
        <v>19.6688842773437</v>
      </c>
      <c r="E11">
        <v>4.8667471772023498</v>
      </c>
      <c r="F11">
        <v>4.5007376076894801</v>
      </c>
      <c r="G11">
        <v>2.50687598148714</v>
      </c>
      <c r="H11">
        <v>22.935489177703801</v>
      </c>
      <c r="I11">
        <v>6</v>
      </c>
      <c r="J11">
        <v>0.1</v>
      </c>
      <c r="K11">
        <v>1</v>
      </c>
      <c r="M11">
        <v>172.202531645569</v>
      </c>
      <c r="N11">
        <v>176</v>
      </c>
      <c r="O11">
        <v>89</v>
      </c>
      <c r="P11">
        <v>224</v>
      </c>
      <c r="Q11">
        <v>13604</v>
      </c>
      <c r="R11">
        <v>31.0852342500486</v>
      </c>
      <c r="S11">
        <v>0.24909011055379901</v>
      </c>
      <c r="T11">
        <v>2.2094190724407898</v>
      </c>
    </row>
    <row r="12" spans="1:20" x14ac:dyDescent="0.25">
      <c r="A12" t="s">
        <v>61</v>
      </c>
      <c r="B12">
        <v>2165534</v>
      </c>
      <c r="C12">
        <v>1</v>
      </c>
      <c r="D12">
        <v>35.11572265625</v>
      </c>
      <c r="E12">
        <v>5.1554402167163502</v>
      </c>
      <c r="F12">
        <v>4.7526757833479198</v>
      </c>
      <c r="G12">
        <v>2.3296123583730499</v>
      </c>
      <c r="H12">
        <v>26.758070707321099</v>
      </c>
      <c r="I12">
        <v>7</v>
      </c>
      <c r="J12">
        <v>0.1</v>
      </c>
      <c r="K12">
        <v>1</v>
      </c>
      <c r="M12">
        <v>278.74683544303798</v>
      </c>
      <c r="N12">
        <v>284</v>
      </c>
      <c r="O12">
        <v>174</v>
      </c>
      <c r="P12">
        <v>371</v>
      </c>
      <c r="Q12">
        <v>22021</v>
      </c>
      <c r="R12">
        <v>52.937909530866499</v>
      </c>
      <c r="S12">
        <v>0.27339918549651399</v>
      </c>
      <c r="T12">
        <v>2.2610272813184999</v>
      </c>
    </row>
    <row r="13" spans="1:20" x14ac:dyDescent="0.25">
      <c r="A13" t="s">
        <v>62</v>
      </c>
      <c r="B13">
        <v>2165562</v>
      </c>
      <c r="C13">
        <v>1</v>
      </c>
      <c r="D13">
        <v>24.987625122070298</v>
      </c>
      <c r="E13">
        <v>4.8639053626112903</v>
      </c>
      <c r="F13">
        <v>4.89053920066634</v>
      </c>
      <c r="G13">
        <v>2.0368013035235402</v>
      </c>
      <c r="H13">
        <v>30.580652236938398</v>
      </c>
      <c r="I13">
        <v>8</v>
      </c>
      <c r="J13">
        <v>0.1</v>
      </c>
      <c r="K13">
        <v>1</v>
      </c>
      <c r="M13">
        <v>209.911392405063</v>
      </c>
      <c r="N13">
        <v>214</v>
      </c>
      <c r="O13">
        <v>120</v>
      </c>
      <c r="P13">
        <v>282</v>
      </c>
      <c r="Q13">
        <v>16583</v>
      </c>
      <c r="R13">
        <v>42.537220465839397</v>
      </c>
      <c r="S13">
        <v>0.24966782135922</v>
      </c>
      <c r="T13">
        <v>1.97180916795704</v>
      </c>
    </row>
    <row r="14" spans="1:20" x14ac:dyDescent="0.25">
      <c r="A14" t="s">
        <v>63</v>
      </c>
      <c r="B14">
        <v>2165574</v>
      </c>
      <c r="C14">
        <v>1</v>
      </c>
      <c r="D14">
        <v>30.772872924804599</v>
      </c>
      <c r="E14">
        <v>4.9930671812626697</v>
      </c>
      <c r="F14">
        <v>4.9068401679280704</v>
      </c>
      <c r="G14">
        <v>2.0948309286201301</v>
      </c>
      <c r="H14">
        <v>34.403233766555701</v>
      </c>
      <c r="I14">
        <v>9</v>
      </c>
      <c r="J14">
        <v>0.1</v>
      </c>
      <c r="K14">
        <v>1</v>
      </c>
      <c r="M14">
        <v>253.151898734177</v>
      </c>
      <c r="N14">
        <v>257</v>
      </c>
      <c r="O14">
        <v>145</v>
      </c>
      <c r="P14">
        <v>334</v>
      </c>
      <c r="Q14">
        <v>19999</v>
      </c>
      <c r="R14">
        <v>47.303192445958103</v>
      </c>
      <c r="S14">
        <v>0.27259364371323203</v>
      </c>
      <c r="T14">
        <v>2.2926972393687501</v>
      </c>
    </row>
    <row r="15" spans="1:20" x14ac:dyDescent="0.25">
      <c r="A15" t="s">
        <v>64</v>
      </c>
      <c r="B15">
        <v>2165568</v>
      </c>
      <c r="C15">
        <v>1</v>
      </c>
      <c r="D15">
        <v>21.8977661132812</v>
      </c>
      <c r="E15">
        <v>5.1077699294757597</v>
      </c>
      <c r="F15">
        <v>4.7450282474019101</v>
      </c>
      <c r="G15">
        <v>2.23405203726159</v>
      </c>
      <c r="H15">
        <v>38.225815296173003</v>
      </c>
      <c r="I15">
        <v>10</v>
      </c>
      <c r="J15">
        <v>0.1</v>
      </c>
      <c r="K15">
        <v>1</v>
      </c>
      <c r="M15">
        <v>202.01265822784799</v>
      </c>
      <c r="N15">
        <v>204</v>
      </c>
      <c r="O15">
        <v>146</v>
      </c>
      <c r="P15">
        <v>255</v>
      </c>
      <c r="Q15">
        <v>15959</v>
      </c>
      <c r="R15">
        <v>28.070649728436301</v>
      </c>
      <c r="S15">
        <v>0.232352701125984</v>
      </c>
      <c r="T15">
        <v>2.71374363805936</v>
      </c>
    </row>
    <row r="16" spans="1:20" x14ac:dyDescent="0.25">
      <c r="A16" t="s">
        <v>65</v>
      </c>
      <c r="B16">
        <v>2165573</v>
      </c>
      <c r="C16">
        <v>1</v>
      </c>
      <c r="D16">
        <v>2.0364608764648402</v>
      </c>
      <c r="E16">
        <v>4.8915728497754403</v>
      </c>
      <c r="F16">
        <v>5.3604750964928698</v>
      </c>
      <c r="G16">
        <v>2.89755480526492</v>
      </c>
      <c r="H16">
        <v>42.048396825790398</v>
      </c>
      <c r="I16">
        <v>11</v>
      </c>
      <c r="J16">
        <v>0.1</v>
      </c>
      <c r="K16">
        <v>1</v>
      </c>
      <c r="M16">
        <v>21.746835443037899</v>
      </c>
      <c r="N16">
        <v>22</v>
      </c>
      <c r="O16">
        <v>15</v>
      </c>
      <c r="P16">
        <v>26</v>
      </c>
      <c r="Q16">
        <v>1718</v>
      </c>
      <c r="R16">
        <v>2.68169652784308</v>
      </c>
      <c r="S16">
        <v>0.19280015274507101</v>
      </c>
      <c r="T16">
        <v>2.6215377852712298</v>
      </c>
    </row>
    <row r="17" spans="1:23" x14ac:dyDescent="0.25">
      <c r="A17" t="s">
        <v>66</v>
      </c>
      <c r="B17">
        <v>2165584</v>
      </c>
      <c r="C17">
        <v>5</v>
      </c>
      <c r="D17">
        <v>14.2616653442382</v>
      </c>
      <c r="E17">
        <v>5.4649141582781597</v>
      </c>
      <c r="F17">
        <v>4.28913674476882</v>
      </c>
      <c r="G17">
        <v>2.8828264699258499</v>
      </c>
      <c r="H17">
        <v>49.693559885025003</v>
      </c>
      <c r="I17">
        <v>13</v>
      </c>
      <c r="J17">
        <v>0.1</v>
      </c>
      <c r="K17">
        <v>1</v>
      </c>
      <c r="M17">
        <v>111.101265822784</v>
      </c>
      <c r="N17">
        <v>114</v>
      </c>
      <c r="O17">
        <v>56</v>
      </c>
      <c r="P17">
        <v>152</v>
      </c>
      <c r="Q17">
        <v>8777</v>
      </c>
      <c r="R17">
        <v>23.947375498140602</v>
      </c>
      <c r="S17">
        <v>0.27137436078605198</v>
      </c>
      <c r="T17">
        <v>1.9805528837281201</v>
      </c>
      <c r="V17">
        <f>SQRT((E26-E17)^2+(F26-F17)^2+(G26-G17)^2)</f>
        <v>1.2620193343554953</v>
      </c>
    </row>
    <row r="18" spans="1:23" x14ac:dyDescent="0.25">
      <c r="A18" t="s">
        <v>67</v>
      </c>
      <c r="B18">
        <v>2165593</v>
      </c>
      <c r="C18">
        <v>5</v>
      </c>
      <c r="D18">
        <v>14.8859252929687</v>
      </c>
      <c r="E18">
        <v>5.6792019550872501</v>
      </c>
      <c r="F18">
        <v>4.4979470512050499</v>
      </c>
      <c r="G18">
        <v>2.9848684221913899</v>
      </c>
      <c r="H18">
        <v>53.516141414642298</v>
      </c>
      <c r="I18">
        <v>14</v>
      </c>
      <c r="J18">
        <v>0.1</v>
      </c>
      <c r="K18">
        <v>1</v>
      </c>
      <c r="M18">
        <v>110.240506329113</v>
      </c>
      <c r="N18">
        <v>112</v>
      </c>
      <c r="O18">
        <v>57</v>
      </c>
      <c r="P18">
        <v>152</v>
      </c>
      <c r="Q18">
        <v>8709</v>
      </c>
      <c r="R18">
        <v>22.467763339592398</v>
      </c>
      <c r="S18">
        <v>0.29077624675941099</v>
      </c>
      <c r="T18">
        <v>2.2106465764381098</v>
      </c>
      <c r="V18">
        <f t="shared" ref="V18:W23" si="0">SQRT((E27-E18)^2+(F27-F18)^2+(G27-G18)^2)</f>
        <v>1.3426275203565412</v>
      </c>
      <c r="W18">
        <f>SQRT((E18-E17)^2+(F18-F17)^2+(G18-G17)^2)</f>
        <v>0.31612270395757558</v>
      </c>
    </row>
    <row r="19" spans="1:23" x14ac:dyDescent="0.25">
      <c r="A19" t="s">
        <v>68</v>
      </c>
      <c r="B19">
        <v>2165590</v>
      </c>
      <c r="C19">
        <v>5</v>
      </c>
      <c r="D19">
        <v>15.254997253417899</v>
      </c>
      <c r="E19">
        <v>5.5841709853438202</v>
      </c>
      <c r="F19">
        <v>5.0513375285103903</v>
      </c>
      <c r="G19">
        <v>3.16559924932199</v>
      </c>
      <c r="H19">
        <v>57.338722944259601</v>
      </c>
      <c r="I19">
        <v>15</v>
      </c>
      <c r="J19">
        <v>0.1</v>
      </c>
      <c r="K19">
        <v>1</v>
      </c>
      <c r="M19">
        <v>110.63291139240501</v>
      </c>
      <c r="N19">
        <v>110</v>
      </c>
      <c r="O19">
        <v>59</v>
      </c>
      <c r="P19">
        <v>153</v>
      </c>
      <c r="Q19">
        <v>8740</v>
      </c>
      <c r="R19">
        <v>22.4403352591562</v>
      </c>
      <c r="S19">
        <v>0.30246074176182403</v>
      </c>
      <c r="T19">
        <v>2.2897568507332999</v>
      </c>
      <c r="V19">
        <f t="shared" si="0"/>
        <v>1.5221238003974968</v>
      </c>
      <c r="W19">
        <f t="shared" ref="W19:W23" si="1">SQRT((E19-E18)^2+(F19-F18)^2+(G19-G18)^2)</f>
        <v>0.58986060849824518</v>
      </c>
    </row>
    <row r="20" spans="1:23" x14ac:dyDescent="0.25">
      <c r="A20" t="s">
        <v>69</v>
      </c>
      <c r="B20">
        <v>2165598</v>
      </c>
      <c r="C20">
        <v>5</v>
      </c>
      <c r="D20">
        <v>1.2359495162963801</v>
      </c>
      <c r="E20">
        <v>5.69600505959915</v>
      </c>
      <c r="F20">
        <v>5.0929996628168297</v>
      </c>
      <c r="G20">
        <v>3.8685978666734302</v>
      </c>
      <c r="H20">
        <v>61.161304473876903</v>
      </c>
      <c r="I20">
        <v>16</v>
      </c>
      <c r="J20">
        <v>0.1</v>
      </c>
      <c r="K20">
        <v>1</v>
      </c>
      <c r="M20">
        <v>14.1898734177215</v>
      </c>
      <c r="N20">
        <v>14</v>
      </c>
      <c r="O20">
        <v>7</v>
      </c>
      <c r="P20">
        <v>21</v>
      </c>
      <c r="Q20">
        <v>1121</v>
      </c>
      <c r="R20">
        <v>2.8603207161358801</v>
      </c>
      <c r="S20">
        <v>0.197407930498356</v>
      </c>
      <c r="T20">
        <v>1.6357474461574</v>
      </c>
      <c r="V20">
        <f t="shared" si="0"/>
        <v>2.0270083519226998</v>
      </c>
      <c r="W20">
        <f t="shared" si="1"/>
        <v>0.71305655427711423</v>
      </c>
    </row>
    <row r="21" spans="1:23" x14ac:dyDescent="0.25">
      <c r="A21" t="s">
        <v>70</v>
      </c>
      <c r="B21">
        <v>2165605</v>
      </c>
      <c r="C21">
        <v>5</v>
      </c>
      <c r="D21">
        <v>11.2958068847656</v>
      </c>
      <c r="E21">
        <v>5.06806414181594</v>
      </c>
      <c r="F21">
        <v>5.7515489065208296</v>
      </c>
      <c r="G21">
        <v>3.0723242221046401</v>
      </c>
      <c r="H21">
        <v>64.983886003494206</v>
      </c>
      <c r="I21">
        <v>17</v>
      </c>
      <c r="J21">
        <v>0.1</v>
      </c>
      <c r="K21">
        <v>1</v>
      </c>
      <c r="M21">
        <v>78.797468354430293</v>
      </c>
      <c r="N21">
        <v>78</v>
      </c>
      <c r="O21">
        <v>44</v>
      </c>
      <c r="P21">
        <v>111</v>
      </c>
      <c r="Q21">
        <v>6225</v>
      </c>
      <c r="R21">
        <v>16.150239933786001</v>
      </c>
      <c r="S21">
        <v>0.31520645102601902</v>
      </c>
      <c r="T21">
        <v>2.3386457867810901</v>
      </c>
      <c r="V21">
        <f t="shared" si="0"/>
        <v>1.6247591872629055</v>
      </c>
      <c r="W21">
        <f t="shared" si="1"/>
        <v>1.2091520250342362</v>
      </c>
    </row>
    <row r="22" spans="1:23" x14ac:dyDescent="0.25">
      <c r="A22" t="s">
        <v>71</v>
      </c>
      <c r="B22">
        <v>2165601</v>
      </c>
      <c r="C22">
        <v>5</v>
      </c>
      <c r="D22">
        <v>10.8762054443359</v>
      </c>
      <c r="E22">
        <v>5.1291962061879302</v>
      </c>
      <c r="F22">
        <v>5.8166934500646699</v>
      </c>
      <c r="G22">
        <v>2.7953266761185902</v>
      </c>
      <c r="H22">
        <v>68.806467533111501</v>
      </c>
      <c r="I22">
        <v>18</v>
      </c>
      <c r="J22">
        <v>0.1</v>
      </c>
      <c r="K22">
        <v>1</v>
      </c>
      <c r="M22">
        <v>76.367088607594894</v>
      </c>
      <c r="N22">
        <v>76</v>
      </c>
      <c r="O22">
        <v>46</v>
      </c>
      <c r="P22">
        <v>107</v>
      </c>
      <c r="Q22">
        <v>6033</v>
      </c>
      <c r="R22">
        <v>14.843782446282299</v>
      </c>
      <c r="S22">
        <v>0.316227889694978</v>
      </c>
      <c r="T22">
        <v>2.4720698055341601</v>
      </c>
      <c r="V22">
        <f t="shared" si="0"/>
        <v>1.5739360298670078</v>
      </c>
      <c r="W22">
        <f t="shared" si="1"/>
        <v>0.29104738674348252</v>
      </c>
    </row>
    <row r="23" spans="1:23" x14ac:dyDescent="0.25">
      <c r="A23" t="s">
        <v>72</v>
      </c>
      <c r="B23">
        <v>2165608</v>
      </c>
      <c r="C23">
        <v>5</v>
      </c>
      <c r="D23">
        <v>6.19535064697265</v>
      </c>
      <c r="E23">
        <v>5.1977002776847296</v>
      </c>
      <c r="F23">
        <v>5.7304024241809204</v>
      </c>
      <c r="G23">
        <v>2.8362781372608001</v>
      </c>
      <c r="H23">
        <v>72.629049062728797</v>
      </c>
      <c r="I23">
        <v>19</v>
      </c>
      <c r="J23">
        <v>0.1</v>
      </c>
      <c r="K23">
        <v>1</v>
      </c>
      <c r="M23">
        <v>56.341772151898702</v>
      </c>
      <c r="N23">
        <v>58</v>
      </c>
      <c r="O23">
        <v>31</v>
      </c>
      <c r="P23">
        <v>71</v>
      </c>
      <c r="Q23">
        <v>4451</v>
      </c>
      <c r="R23">
        <v>10.058656274571799</v>
      </c>
      <c r="S23">
        <v>0.23330989647373301</v>
      </c>
      <c r="T23">
        <v>2.11924650470334</v>
      </c>
      <c r="V23">
        <f t="shared" si="0"/>
        <v>1.5720036923910656</v>
      </c>
      <c r="W23">
        <f t="shared" si="1"/>
        <v>0.11754135922895595</v>
      </c>
    </row>
    <row r="26" spans="1:23" x14ac:dyDescent="0.25">
      <c r="E26">
        <v>4.3635207679999999</v>
      </c>
      <c r="F26">
        <v>4.4670661049999998</v>
      </c>
      <c r="G26">
        <v>2.2929395800000001</v>
      </c>
      <c r="H26">
        <v>49.693559890000003</v>
      </c>
      <c r="I26">
        <v>13</v>
      </c>
    </row>
    <row r="27" spans="1:23" x14ac:dyDescent="0.25">
      <c r="E27">
        <v>4.4692493329999996</v>
      </c>
      <c r="F27">
        <v>4.4184190230000002</v>
      </c>
      <c r="G27">
        <v>2.4083802580000002</v>
      </c>
      <c r="H27">
        <v>53.516141410000003</v>
      </c>
      <c r="I27">
        <v>14</v>
      </c>
    </row>
    <row r="28" spans="1:23" x14ac:dyDescent="0.25">
      <c r="E28">
        <v>4.4305382409999998</v>
      </c>
      <c r="F28">
        <v>4.3650201160000002</v>
      </c>
      <c r="G28">
        <v>2.4479915820000002</v>
      </c>
      <c r="H28">
        <v>57.338722939999997</v>
      </c>
      <c r="I28">
        <v>15</v>
      </c>
    </row>
    <row r="29" spans="1:23" x14ac:dyDescent="0.25">
      <c r="E29">
        <v>4.4154555520000001</v>
      </c>
      <c r="F29">
        <v>4.3902561410000001</v>
      </c>
      <c r="G29">
        <v>2.4632127380000002</v>
      </c>
      <c r="H29">
        <v>61.161304469999997</v>
      </c>
      <c r="I29">
        <v>16</v>
      </c>
    </row>
    <row r="30" spans="1:23" x14ac:dyDescent="0.25">
      <c r="E30">
        <v>4.3574784180000004</v>
      </c>
      <c r="F30">
        <v>4.4513836150000001</v>
      </c>
      <c r="G30">
        <v>2.4056304690000001</v>
      </c>
      <c r="H30">
        <v>64.983885999999998</v>
      </c>
      <c r="I30">
        <v>17</v>
      </c>
    </row>
    <row r="31" spans="1:23" x14ac:dyDescent="0.25">
      <c r="E31">
        <v>4.3060460599999999</v>
      </c>
      <c r="F31">
        <v>4.5040496169999997</v>
      </c>
      <c r="G31">
        <v>2.5184428909999999</v>
      </c>
      <c r="H31">
        <v>68.806467530000006</v>
      </c>
      <c r="I31">
        <v>18</v>
      </c>
    </row>
    <row r="32" spans="1:23" x14ac:dyDescent="0.25">
      <c r="E32">
        <v>4.3355287330000003</v>
      </c>
      <c r="F32">
        <v>4.4579645799999996</v>
      </c>
      <c r="G32">
        <v>2.5064937089999999</v>
      </c>
      <c r="H32">
        <v>72.62904906</v>
      </c>
      <c r="I32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240627_WT_5_Cell 1_Kar9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2024-12-11T00:22:45Z</dcterms:created>
  <dcterms:modified xsi:type="dcterms:W3CDTF">2024-12-11T00:25:45Z</dcterms:modified>
</cp:coreProperties>
</file>