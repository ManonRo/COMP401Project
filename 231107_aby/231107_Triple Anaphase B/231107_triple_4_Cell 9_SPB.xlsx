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Triple Anaphase B\"/>
    </mc:Choice>
  </mc:AlternateContent>
  <xr:revisionPtr revIDLastSave="0" documentId="13_ncr:1_{D334E520-5530-4090-9532-262C4D4875CF}" xr6:coauthVersionLast="45" xr6:coauthVersionMax="45" xr10:uidLastSave="{00000000-0000-0000-0000-000000000000}"/>
  <bookViews>
    <workbookView xWindow="360" yWindow="300" windowWidth="27345" windowHeight="14145" xr2:uid="{00000000-000D-0000-FFFF-FFFF00000000}"/>
  </bookViews>
  <sheets>
    <sheet name="231107_triple_4_Cell 9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20" i="1" l="1"/>
  <c r="Z7" i="1" l="1"/>
  <c r="Z8" i="1"/>
  <c r="Z9" i="1"/>
  <c r="Z10" i="1"/>
  <c r="Z11" i="1"/>
  <c r="Z12" i="1"/>
  <c r="Z13" i="1"/>
  <c r="Z14" i="1"/>
  <c r="Z15" i="1"/>
  <c r="Z16" i="1"/>
  <c r="Z18" i="1"/>
  <c r="Z19" i="1"/>
  <c r="Z6" i="1"/>
  <c r="Y7" i="1"/>
  <c r="Y8" i="1"/>
  <c r="Y9" i="1"/>
  <c r="Y10" i="1"/>
  <c r="Y11" i="1"/>
  <c r="Y12" i="1"/>
  <c r="Y13" i="1"/>
  <c r="Y14" i="1"/>
  <c r="Y15" i="1"/>
  <c r="Y16" i="1"/>
  <c r="Y18" i="1"/>
  <c r="Y19" i="1"/>
  <c r="Y6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<sst xmlns="http://schemas.openxmlformats.org/spreadsheetml/2006/main" count="46" uniqueCount="33">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</sst>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'231107_triple_4_Cell 9_SPB'!$Y$6:$Y$19</c:f>
              <c:numCache>
                <c:formatCode>General</c:formatCode>
                <c:ptCount val="14"/>
                <c:pt idx="0">
                  <c:v>6.3695681095123163E-2</c:v>
                </c:pt>
                <c:pt idx="1">
                  <c:v>0.12739136219024649</c:v>
                </c:pt>
                <c:pt idx="2">
                  <c:v>0.19108704328536832</c:v>
                </c:pt>
                <c:pt idx="3">
                  <c:v>0.25478272438049165</c:v>
                </c:pt>
                <c:pt idx="4">
                  <c:v>0.31847840547561496</c:v>
                </c:pt>
                <c:pt idx="5">
                  <c:v>0.38217408657073831</c:v>
                </c:pt>
                <c:pt idx="6">
                  <c:v>0.44586976766586167</c:v>
                </c:pt>
                <c:pt idx="7">
                  <c:v>0.50956544876098497</c:v>
                </c:pt>
                <c:pt idx="8">
                  <c:v>0.57326112985610833</c:v>
                </c:pt>
                <c:pt idx="9">
                  <c:v>0.63695681095123158</c:v>
                </c:pt>
                <c:pt idx="10">
                  <c:v>0.70065249204635505</c:v>
                </c:pt>
                <c:pt idx="12">
                  <c:v>0.82804385423660176</c:v>
                </c:pt>
                <c:pt idx="13">
                  <c:v>0.89173953533172501</c:v>
                </c:pt>
              </c:numCache>
            </c:numRef>
          </c:xVal>
          <c:yVal>
            <c:numRef>
              <c:f>'231107_triple_4_Cell 9_SPB'!$Z$6:$Z$19</c:f>
              <c:numCache>
                <c:formatCode>General</c:formatCode>
                <c:ptCount val="14"/>
                <c:pt idx="0">
                  <c:v>6.0259645101566717</c:v>
                </c:pt>
                <c:pt idx="1">
                  <c:v>6.0303302499200369</c:v>
                </c:pt>
                <c:pt idx="2">
                  <c:v>6.0194590789896676</c:v>
                </c:pt>
                <c:pt idx="3">
                  <c:v>6.0558435215043209</c:v>
                </c:pt>
                <c:pt idx="4">
                  <c:v>6.0272146951485501</c:v>
                </c:pt>
                <c:pt idx="5">
                  <c:v>5.9882459498885572</c:v>
                </c:pt>
                <c:pt idx="6">
                  <c:v>6.0294517343701299</c:v>
                </c:pt>
                <c:pt idx="7">
                  <c:v>6.0306681191557665</c:v>
                </c:pt>
                <c:pt idx="8">
                  <c:v>5.9979160441785346</c:v>
                </c:pt>
                <c:pt idx="9">
                  <c:v>5.9307730226483946</c:v>
                </c:pt>
                <c:pt idx="10">
                  <c:v>5.9580867303737577</c:v>
                </c:pt>
                <c:pt idx="12">
                  <c:v>6.0092528929623104</c:v>
                </c:pt>
                <c:pt idx="13">
                  <c:v>5.8969855107481113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97-482A-8046-154FD8590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441312"/>
        <c:axId val="585441640"/>
      </c:scatterChart>
      <c:valAx>
        <c:axId val="585441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441640"/>
        <c:crosses val="autoZero"/>
        <c:crossBetween val="midCat"/>
      </c:valAx>
      <c:valAx>
        <c:axId val="585441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441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8</xdr:row>
      <xdr:rowOff>76200</xdr:rowOff>
    </xdr:from>
    <xdr:to>
      <xdr:col>17</xdr:col>
      <xdr:colOff>361950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23552A-1F6A-45B9-8B5D-C46E9F59E6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D1" workbookViewId="0">
      <selection activeCell="Z20" sqref="Z20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2</v>
      </c>
      <c r="B5">
        <v>1.2807174211216901</v>
      </c>
      <c r="C5">
        <v>4.3311956908192597</v>
      </c>
      <c r="D5">
        <v>1.9532335430302701</v>
      </c>
      <c r="E5">
        <v>0</v>
      </c>
      <c r="F5">
        <v>0</v>
      </c>
      <c r="G5">
        <v>59.881481481481401</v>
      </c>
      <c r="H5">
        <v>59</v>
      </c>
      <c r="I5">
        <v>23</v>
      </c>
      <c r="J5">
        <v>103</v>
      </c>
      <c r="K5">
        <v>8084</v>
      </c>
      <c r="L5">
        <v>20.4187694791474</v>
      </c>
    </row>
    <row r="6" spans="1:26" x14ac:dyDescent="0.25">
      <c r="A6">
        <v>2</v>
      </c>
      <c r="B6">
        <v>1.4492196637564401</v>
      </c>
      <c r="C6">
        <v>4.3134951962777599</v>
      </c>
      <c r="D6">
        <v>1.61854064792911</v>
      </c>
      <c r="E6">
        <v>3.8217408657073899</v>
      </c>
      <c r="F6">
        <v>1</v>
      </c>
      <c r="G6">
        <v>73.288888888888806</v>
      </c>
      <c r="H6">
        <v>69</v>
      </c>
      <c r="I6">
        <v>29</v>
      </c>
      <c r="J6">
        <v>124</v>
      </c>
      <c r="K6">
        <v>9894</v>
      </c>
      <c r="L6">
        <v>23.794162919815498</v>
      </c>
      <c r="M6">
        <v>3</v>
      </c>
      <c r="N6">
        <v>6.5944695940833196</v>
      </c>
      <c r="O6">
        <v>1.85301106985105</v>
      </c>
      <c r="P6">
        <v>3.5639633001415199</v>
      </c>
      <c r="Q6">
        <v>3.8217408657073899</v>
      </c>
      <c r="R6">
        <v>1</v>
      </c>
      <c r="S6">
        <v>17.637037037037</v>
      </c>
      <c r="T6">
        <v>17</v>
      </c>
      <c r="U6">
        <v>7</v>
      </c>
      <c r="V6">
        <v>29</v>
      </c>
      <c r="W6">
        <v>2381</v>
      </c>
      <c r="X6">
        <v>5.7803158094369698</v>
      </c>
      <c r="Y6">
        <f>E6/60</f>
        <v>6.3695681095123163E-2</v>
      </c>
      <c r="Z6">
        <f>SQRT((B6-N6)^2+(C6-O6)^2+(D6-P6)^2)</f>
        <v>6.0259645101566717</v>
      </c>
    </row>
    <row r="7" spans="1:26" x14ac:dyDescent="0.25">
      <c r="A7">
        <v>2</v>
      </c>
      <c r="B7">
        <v>1.5566469286006701</v>
      </c>
      <c r="C7">
        <v>4.2961719010308901</v>
      </c>
      <c r="D7">
        <v>1.54041070365902</v>
      </c>
      <c r="E7">
        <v>7.6434817314147896</v>
      </c>
      <c r="F7">
        <v>2</v>
      </c>
      <c r="G7">
        <v>102.585185185185</v>
      </c>
      <c r="H7">
        <v>99</v>
      </c>
      <c r="I7">
        <v>36</v>
      </c>
      <c r="J7">
        <v>176</v>
      </c>
      <c r="K7">
        <v>13849</v>
      </c>
      <c r="L7">
        <v>35.041422223144302</v>
      </c>
      <c r="M7">
        <v>3</v>
      </c>
      <c r="N7">
        <v>6.6481733482728202</v>
      </c>
      <c r="O7">
        <v>1.9992094590749401</v>
      </c>
      <c r="P7">
        <v>3.81311947979487</v>
      </c>
      <c r="Q7">
        <v>7.6434817314147896</v>
      </c>
      <c r="R7">
        <v>2</v>
      </c>
      <c r="S7">
        <v>22.562962962962899</v>
      </c>
      <c r="T7">
        <v>23</v>
      </c>
      <c r="U7">
        <v>9</v>
      </c>
      <c r="V7">
        <v>35</v>
      </c>
      <c r="W7">
        <v>3046</v>
      </c>
      <c r="X7">
        <v>6.8203026669472004</v>
      </c>
      <c r="Y7">
        <f t="shared" ref="Y7:Y19" si="0">E7/60</f>
        <v>0.12739136219024649</v>
      </c>
      <c r="Z7">
        <f t="shared" ref="Z7:Z19" si="1">SQRT((B7-N7)^2+(C7-O7)^2+(D7-P7)^2)</f>
        <v>6.0303302499200369</v>
      </c>
    </row>
    <row r="8" spans="1:26" x14ac:dyDescent="0.25">
      <c r="A8">
        <v>2</v>
      </c>
      <c r="B8">
        <v>1.55534947424923</v>
      </c>
      <c r="C8">
        <v>4.2325155274618202</v>
      </c>
      <c r="D8">
        <v>1.5290505797662199</v>
      </c>
      <c r="E8">
        <v>11.4652225971221</v>
      </c>
      <c r="F8">
        <v>3</v>
      </c>
      <c r="G8">
        <v>74.933333333333294</v>
      </c>
      <c r="H8">
        <v>73</v>
      </c>
      <c r="I8">
        <v>27</v>
      </c>
      <c r="J8">
        <v>125</v>
      </c>
      <c r="K8">
        <v>10116</v>
      </c>
      <c r="L8">
        <v>24.460507310978802</v>
      </c>
      <c r="M8">
        <v>3</v>
      </c>
      <c r="N8">
        <v>6.6492525797572597</v>
      </c>
      <c r="O8">
        <v>1.9039259959396699</v>
      </c>
      <c r="P8">
        <v>3.7344325305883999</v>
      </c>
      <c r="Q8">
        <v>11.4652225971221</v>
      </c>
      <c r="R8">
        <v>3</v>
      </c>
      <c r="S8">
        <v>14.674074074073999</v>
      </c>
      <c r="T8">
        <v>14</v>
      </c>
      <c r="U8">
        <v>6</v>
      </c>
      <c r="V8">
        <v>24</v>
      </c>
      <c r="W8">
        <v>1981</v>
      </c>
      <c r="X8">
        <v>4.70444316756618</v>
      </c>
      <c r="Y8">
        <f t="shared" si="0"/>
        <v>0.19108704328536832</v>
      </c>
      <c r="Z8">
        <f t="shared" si="1"/>
        <v>6.0194590789896676</v>
      </c>
    </row>
    <row r="9" spans="1:26" x14ac:dyDescent="0.25">
      <c r="A9">
        <v>2</v>
      </c>
      <c r="B9">
        <v>1.5017054093017499</v>
      </c>
      <c r="C9">
        <v>4.2120560169605197</v>
      </c>
      <c r="D9">
        <v>1.4484570212668799</v>
      </c>
      <c r="E9">
        <v>15.286963462829499</v>
      </c>
      <c r="F9">
        <v>4</v>
      </c>
      <c r="G9">
        <v>51.044444444444402</v>
      </c>
      <c r="H9">
        <v>52</v>
      </c>
      <c r="I9">
        <v>22</v>
      </c>
      <c r="J9">
        <v>83</v>
      </c>
      <c r="K9">
        <v>6891</v>
      </c>
      <c r="L9">
        <v>15.4407227938982</v>
      </c>
      <c r="M9">
        <v>3</v>
      </c>
      <c r="N9">
        <v>6.6158781443405097</v>
      </c>
      <c r="O9">
        <v>2.0300887916073198</v>
      </c>
      <c r="P9">
        <v>3.8479355105675199</v>
      </c>
      <c r="Q9">
        <v>15.286963462829499</v>
      </c>
      <c r="R9">
        <v>4</v>
      </c>
      <c r="S9">
        <v>12.8888888888888</v>
      </c>
      <c r="T9">
        <v>13</v>
      </c>
      <c r="U9">
        <v>5</v>
      </c>
      <c r="V9">
        <v>21</v>
      </c>
      <c r="W9">
        <v>1740</v>
      </c>
      <c r="X9">
        <v>4.1782426261271697</v>
      </c>
      <c r="Y9">
        <f t="shared" si="0"/>
        <v>0.25478272438049165</v>
      </c>
      <c r="Z9">
        <f t="shared" si="1"/>
        <v>6.0558435215043209</v>
      </c>
    </row>
    <row r="10" spans="1:26" x14ac:dyDescent="0.25">
      <c r="A10">
        <v>2</v>
      </c>
      <c r="B10">
        <v>1.4247076499479301</v>
      </c>
      <c r="C10">
        <v>4.1045901690840498</v>
      </c>
      <c r="D10">
        <v>1.4520662584195601</v>
      </c>
      <c r="E10">
        <v>19.108704328536898</v>
      </c>
      <c r="F10">
        <v>5</v>
      </c>
      <c r="G10">
        <v>42.325925925925901</v>
      </c>
      <c r="H10">
        <v>41</v>
      </c>
      <c r="I10">
        <v>16</v>
      </c>
      <c r="J10">
        <v>71</v>
      </c>
      <c r="K10">
        <v>5714</v>
      </c>
      <c r="L10">
        <v>14.0089681455107</v>
      </c>
      <c r="M10">
        <v>3</v>
      </c>
      <c r="N10">
        <v>6.6345465508710397</v>
      </c>
      <c r="O10">
        <v>2.1235297324191</v>
      </c>
      <c r="P10">
        <v>3.7455995924096701</v>
      </c>
      <c r="Q10">
        <v>19.108704328536898</v>
      </c>
      <c r="R10">
        <v>5</v>
      </c>
      <c r="S10">
        <v>11.2518518518518</v>
      </c>
      <c r="T10">
        <v>11</v>
      </c>
      <c r="U10">
        <v>5</v>
      </c>
      <c r="V10">
        <v>18</v>
      </c>
      <c r="W10">
        <v>1519</v>
      </c>
      <c r="X10">
        <v>3.4999328746623202</v>
      </c>
      <c r="Y10">
        <f t="shared" si="0"/>
        <v>0.31847840547561496</v>
      </c>
      <c r="Z10">
        <f t="shared" si="1"/>
        <v>6.0272146951485501</v>
      </c>
    </row>
    <row r="11" spans="1:26" x14ac:dyDescent="0.25">
      <c r="A11">
        <v>2</v>
      </c>
      <c r="B11">
        <v>1.40899862480881</v>
      </c>
      <c r="C11">
        <v>4.0058899044434302</v>
      </c>
      <c r="D11">
        <v>1.6095094780477499</v>
      </c>
      <c r="E11">
        <v>22.9304451942443</v>
      </c>
      <c r="F11">
        <v>6</v>
      </c>
      <c r="G11">
        <v>22.844444444444399</v>
      </c>
      <c r="H11">
        <v>20</v>
      </c>
      <c r="I11">
        <v>8</v>
      </c>
      <c r="J11">
        <v>45</v>
      </c>
      <c r="K11">
        <v>3084</v>
      </c>
      <c r="L11">
        <v>9.5954487553173102</v>
      </c>
      <c r="M11">
        <v>3</v>
      </c>
      <c r="N11">
        <v>6.6923456014437797</v>
      </c>
      <c r="O11">
        <v>2.3550075597801801</v>
      </c>
      <c r="P11">
        <v>3.8942242884602001</v>
      </c>
      <c r="Q11">
        <v>22.9304451942443</v>
      </c>
      <c r="R11">
        <v>6</v>
      </c>
      <c r="S11">
        <v>5.1703703703703701</v>
      </c>
      <c r="T11">
        <v>5</v>
      </c>
      <c r="U11">
        <v>2</v>
      </c>
      <c r="V11">
        <v>9</v>
      </c>
      <c r="W11">
        <v>698</v>
      </c>
      <c r="X11">
        <v>1.8101733269889899</v>
      </c>
      <c r="Y11">
        <f t="shared" si="0"/>
        <v>0.38217408657073831</v>
      </c>
      <c r="Z11">
        <f t="shared" si="1"/>
        <v>5.9882459498885572</v>
      </c>
    </row>
    <row r="12" spans="1:26" x14ac:dyDescent="0.25">
      <c r="A12">
        <v>2</v>
      </c>
      <c r="B12">
        <v>1.3942475990504899</v>
      </c>
      <c r="C12">
        <v>4.0142445125608903</v>
      </c>
      <c r="D12">
        <v>1.64725056679738</v>
      </c>
      <c r="E12">
        <v>26.752186059951701</v>
      </c>
      <c r="F12">
        <v>7</v>
      </c>
      <c r="G12">
        <v>13.8888888888888</v>
      </c>
      <c r="H12">
        <v>13</v>
      </c>
      <c r="I12">
        <v>4</v>
      </c>
      <c r="J12">
        <v>26</v>
      </c>
      <c r="K12">
        <v>1875</v>
      </c>
      <c r="L12">
        <v>5.9332942030125597</v>
      </c>
      <c r="M12">
        <v>3</v>
      </c>
      <c r="N12">
        <v>6.7374693918185198</v>
      </c>
      <c r="O12">
        <v>2.3798887061304201</v>
      </c>
      <c r="P12">
        <v>3.9128962117239601</v>
      </c>
      <c r="Q12">
        <v>26.752186059951701</v>
      </c>
      <c r="R12">
        <v>7</v>
      </c>
      <c r="S12">
        <v>4.3259259259259197</v>
      </c>
      <c r="T12">
        <v>4</v>
      </c>
      <c r="U12">
        <v>1</v>
      </c>
      <c r="V12">
        <v>8</v>
      </c>
      <c r="W12">
        <v>584</v>
      </c>
      <c r="X12">
        <v>1.6743438439893099</v>
      </c>
      <c r="Y12">
        <f t="shared" si="0"/>
        <v>0.44586976766586167</v>
      </c>
      <c r="Z12">
        <f t="shared" si="1"/>
        <v>6.0294517343701299</v>
      </c>
    </row>
    <row r="13" spans="1:26" x14ac:dyDescent="0.25">
      <c r="A13">
        <v>2</v>
      </c>
      <c r="B13">
        <v>1.4653436921488401</v>
      </c>
      <c r="C13">
        <v>4.0057771788544603</v>
      </c>
      <c r="D13">
        <v>1.5432155115656301</v>
      </c>
      <c r="E13">
        <v>30.573926925659102</v>
      </c>
      <c r="F13">
        <v>8</v>
      </c>
      <c r="G13">
        <v>17.733333333333299</v>
      </c>
      <c r="H13">
        <v>17</v>
      </c>
      <c r="I13">
        <v>5</v>
      </c>
      <c r="J13">
        <v>34</v>
      </c>
      <c r="K13">
        <v>2394</v>
      </c>
      <c r="L13">
        <v>7.4395072858836802</v>
      </c>
      <c r="M13">
        <v>3</v>
      </c>
      <c r="N13">
        <v>6.8053424631012502</v>
      </c>
      <c r="O13">
        <v>2.55211352923072</v>
      </c>
      <c r="P13">
        <v>3.9390938647778899</v>
      </c>
      <c r="Q13">
        <v>30.573926925659102</v>
      </c>
      <c r="R13">
        <v>8</v>
      </c>
      <c r="S13">
        <v>5.3037037037037003</v>
      </c>
      <c r="T13">
        <v>5</v>
      </c>
      <c r="U13">
        <v>2</v>
      </c>
      <c r="V13">
        <v>9</v>
      </c>
      <c r="W13">
        <v>716</v>
      </c>
      <c r="X13">
        <v>2.0416340911876398</v>
      </c>
      <c r="Y13">
        <f t="shared" si="0"/>
        <v>0.50956544876098497</v>
      </c>
      <c r="Z13">
        <f t="shared" si="1"/>
        <v>6.0306681191557665</v>
      </c>
    </row>
    <row r="14" spans="1:26" x14ac:dyDescent="0.25">
      <c r="A14">
        <v>2</v>
      </c>
      <c r="B14">
        <v>1.5827037486415401</v>
      </c>
      <c r="C14">
        <v>3.9910479726363999</v>
      </c>
      <c r="D14">
        <v>1.3787363114958999</v>
      </c>
      <c r="E14">
        <v>34.395667791366499</v>
      </c>
      <c r="F14">
        <v>9</v>
      </c>
      <c r="G14">
        <v>26.562962962962899</v>
      </c>
      <c r="H14">
        <v>26</v>
      </c>
      <c r="I14">
        <v>8</v>
      </c>
      <c r="J14">
        <v>44</v>
      </c>
      <c r="K14">
        <v>3586</v>
      </c>
      <c r="L14">
        <v>9.2853659597282903</v>
      </c>
      <c r="M14">
        <v>3</v>
      </c>
      <c r="N14">
        <v>6.8141533863442296</v>
      </c>
      <c r="O14">
        <v>2.5736455027996898</v>
      </c>
      <c r="P14">
        <v>3.9473744330878602</v>
      </c>
      <c r="Q14">
        <v>34.395667791366499</v>
      </c>
      <c r="R14">
        <v>9</v>
      </c>
      <c r="S14">
        <v>7.5111111111111102</v>
      </c>
      <c r="T14">
        <v>8</v>
      </c>
      <c r="U14">
        <v>3</v>
      </c>
      <c r="V14">
        <v>12</v>
      </c>
      <c r="W14">
        <v>1014</v>
      </c>
      <c r="X14">
        <v>2.26546646597509</v>
      </c>
      <c r="Y14">
        <f t="shared" si="0"/>
        <v>0.57326112985610833</v>
      </c>
      <c r="Z14">
        <f t="shared" si="1"/>
        <v>5.9979160441785346</v>
      </c>
    </row>
    <row r="15" spans="1:26" x14ac:dyDescent="0.25">
      <c r="A15">
        <v>2</v>
      </c>
      <c r="B15">
        <v>1.4315611689676999</v>
      </c>
      <c r="C15">
        <v>3.9762667714802999</v>
      </c>
      <c r="D15">
        <v>1.37527691366925</v>
      </c>
      <c r="E15">
        <v>38.217408657073896</v>
      </c>
      <c r="F15">
        <v>10</v>
      </c>
      <c r="G15">
        <v>23</v>
      </c>
      <c r="H15">
        <v>22</v>
      </c>
      <c r="I15">
        <v>9</v>
      </c>
      <c r="J15">
        <v>38</v>
      </c>
      <c r="K15">
        <v>3105</v>
      </c>
      <c r="L15">
        <v>7.1664641878142303</v>
      </c>
      <c r="M15">
        <v>3</v>
      </c>
      <c r="N15">
        <v>6.7683715555792201</v>
      </c>
      <c r="O15">
        <v>2.4573908667915498</v>
      </c>
      <c r="P15">
        <v>3.46944489396245</v>
      </c>
      <c r="Q15">
        <v>38.217408657073896</v>
      </c>
      <c r="R15">
        <v>10</v>
      </c>
      <c r="S15">
        <v>4.4074074074074003</v>
      </c>
      <c r="T15">
        <v>4</v>
      </c>
      <c r="U15">
        <v>2</v>
      </c>
      <c r="V15">
        <v>7</v>
      </c>
      <c r="W15">
        <v>595</v>
      </c>
      <c r="X15">
        <v>1.21124270893356</v>
      </c>
      <c r="Y15">
        <f t="shared" si="0"/>
        <v>0.63695681095123158</v>
      </c>
      <c r="Z15">
        <f t="shared" si="1"/>
        <v>5.9307730226483946</v>
      </c>
    </row>
    <row r="16" spans="1:26" x14ac:dyDescent="0.25">
      <c r="A16">
        <v>2</v>
      </c>
      <c r="B16">
        <v>1.40590720497824</v>
      </c>
      <c r="C16">
        <v>4.0686160373510099</v>
      </c>
      <c r="D16">
        <v>1.46823088929941</v>
      </c>
      <c r="E16">
        <v>42.039149522781301</v>
      </c>
      <c r="F16">
        <v>11</v>
      </c>
      <c r="G16">
        <v>20.9777777777777</v>
      </c>
      <c r="H16">
        <v>20</v>
      </c>
      <c r="I16">
        <v>9</v>
      </c>
      <c r="J16">
        <v>35</v>
      </c>
      <c r="K16">
        <v>2832</v>
      </c>
      <c r="L16">
        <v>6.6360241048686603</v>
      </c>
      <c r="M16">
        <v>3</v>
      </c>
      <c r="N16">
        <v>6.6758081034817804</v>
      </c>
      <c r="O16">
        <v>2.38100266527722</v>
      </c>
      <c r="P16">
        <v>3.6770548100783298</v>
      </c>
      <c r="Q16">
        <v>42.039149522781301</v>
      </c>
      <c r="R16">
        <v>11</v>
      </c>
      <c r="S16">
        <v>5.3925925925925897</v>
      </c>
      <c r="T16">
        <v>5</v>
      </c>
      <c r="U16">
        <v>2</v>
      </c>
      <c r="V16">
        <v>9</v>
      </c>
      <c r="W16">
        <v>728</v>
      </c>
      <c r="X16">
        <v>1.8652209516441101</v>
      </c>
      <c r="Y16">
        <f t="shared" si="0"/>
        <v>0.70065249204635505</v>
      </c>
      <c r="Z16">
        <f t="shared" si="1"/>
        <v>5.9580867303737577</v>
      </c>
    </row>
    <row r="17" spans="1:26" x14ac:dyDescent="0.25">
      <c r="A17">
        <v>2</v>
      </c>
      <c r="B17">
        <v>1.42869793563558</v>
      </c>
      <c r="C17">
        <v>4.0548813475887497</v>
      </c>
      <c r="D17">
        <v>1.41174072925992</v>
      </c>
      <c r="E17">
        <v>45.860890388488698</v>
      </c>
      <c r="F17">
        <v>12</v>
      </c>
      <c r="G17">
        <v>10.6</v>
      </c>
      <c r="H17">
        <v>10</v>
      </c>
      <c r="I17">
        <v>3</v>
      </c>
      <c r="J17">
        <v>20</v>
      </c>
      <c r="K17">
        <v>1431</v>
      </c>
      <c r="L17">
        <v>4.3523882618729601</v>
      </c>
    </row>
    <row r="18" spans="1:26" x14ac:dyDescent="0.25">
      <c r="A18">
        <v>2</v>
      </c>
      <c r="B18">
        <v>1.5609649678523201</v>
      </c>
      <c r="C18">
        <v>4.0709178937563797</v>
      </c>
      <c r="D18">
        <v>1.3244977605858701</v>
      </c>
      <c r="E18">
        <v>49.682631254196103</v>
      </c>
      <c r="F18">
        <v>13</v>
      </c>
      <c r="G18">
        <v>18.459259259259198</v>
      </c>
      <c r="H18">
        <v>16</v>
      </c>
      <c r="I18">
        <v>7</v>
      </c>
      <c r="J18">
        <v>36</v>
      </c>
      <c r="K18">
        <v>2492</v>
      </c>
      <c r="L18">
        <v>7.6282692653393998</v>
      </c>
      <c r="M18">
        <v>3</v>
      </c>
      <c r="N18">
        <v>6.7932873092596902</v>
      </c>
      <c r="O18">
        <v>2.4597175689449702</v>
      </c>
      <c r="P18">
        <v>3.8019877727782099</v>
      </c>
      <c r="Q18">
        <v>49.682631254196103</v>
      </c>
      <c r="R18">
        <v>13</v>
      </c>
      <c r="S18">
        <v>3.7555555555555502</v>
      </c>
      <c r="T18">
        <v>4</v>
      </c>
      <c r="U18">
        <v>1</v>
      </c>
      <c r="V18">
        <v>7</v>
      </c>
      <c r="W18">
        <v>507</v>
      </c>
      <c r="X18">
        <v>1.5183782917362501</v>
      </c>
      <c r="Y18">
        <f t="shared" si="0"/>
        <v>0.82804385423660176</v>
      </c>
      <c r="Z18">
        <f t="shared" si="1"/>
        <v>6.0092528929623104</v>
      </c>
    </row>
    <row r="19" spans="1:26" x14ac:dyDescent="0.25">
      <c r="A19">
        <v>2</v>
      </c>
      <c r="B19">
        <v>1.4832985107911101</v>
      </c>
      <c r="C19">
        <v>4.0655772976144098</v>
      </c>
      <c r="D19">
        <v>1.23362355604332</v>
      </c>
      <c r="E19">
        <v>53.504372119903501</v>
      </c>
      <c r="F19">
        <v>14</v>
      </c>
      <c r="G19">
        <v>10.2074074074074</v>
      </c>
      <c r="H19">
        <v>10</v>
      </c>
      <c r="I19">
        <v>4</v>
      </c>
      <c r="J19">
        <v>18</v>
      </c>
      <c r="K19">
        <v>1378</v>
      </c>
      <c r="L19">
        <v>3.83054552892906</v>
      </c>
      <c r="M19">
        <v>3</v>
      </c>
      <c r="N19">
        <v>6.6723392639792998</v>
      </c>
      <c r="O19">
        <v>2.4331875391253299</v>
      </c>
      <c r="P19">
        <v>3.5103751569223598</v>
      </c>
      <c r="Q19">
        <v>53.504372119903501</v>
      </c>
      <c r="R19">
        <v>14</v>
      </c>
      <c r="S19">
        <v>4.8148148148148104</v>
      </c>
      <c r="T19">
        <v>5</v>
      </c>
      <c r="U19">
        <v>1</v>
      </c>
      <c r="V19">
        <v>9</v>
      </c>
      <c r="W19">
        <v>650</v>
      </c>
      <c r="X19">
        <v>1.96303597181624</v>
      </c>
      <c r="Y19">
        <f t="shared" si="0"/>
        <v>0.89173953533172501</v>
      </c>
      <c r="Z19">
        <f t="shared" si="1"/>
        <v>5.8969855107481113</v>
      </c>
    </row>
    <row r="20" spans="1:26" x14ac:dyDescent="0.25">
      <c r="A20">
        <v>2</v>
      </c>
      <c r="B20">
        <v>1.4506882526473801</v>
      </c>
      <c r="C20">
        <v>4.1397613898306096</v>
      </c>
      <c r="D20">
        <v>1.12893630132661</v>
      </c>
      <c r="E20">
        <v>57.326112985610898</v>
      </c>
      <c r="F20">
        <v>15</v>
      </c>
      <c r="G20">
        <v>8.7629629629629608</v>
      </c>
      <c r="H20">
        <v>8</v>
      </c>
      <c r="I20">
        <v>2</v>
      </c>
      <c r="J20">
        <v>17</v>
      </c>
      <c r="K20">
        <v>1183</v>
      </c>
      <c r="L20">
        <v>3.8092726759203601</v>
      </c>
      <c r="Z20">
        <f>AVERAGE(Z6:Z19)</f>
        <v>6.0000147738495997</v>
      </c>
    </row>
    <row r="21" spans="1:26" x14ac:dyDescent="0.25">
      <c r="A21">
        <v>2</v>
      </c>
      <c r="B21">
        <v>1.4284549138277101</v>
      </c>
      <c r="C21">
        <v>4.0405770038731399</v>
      </c>
      <c r="D21">
        <v>1.2237323938561</v>
      </c>
      <c r="E21">
        <v>61.147853851318303</v>
      </c>
      <c r="F21">
        <v>16</v>
      </c>
      <c r="G21">
        <v>6.38518518518518</v>
      </c>
      <c r="H21">
        <v>6</v>
      </c>
      <c r="I21">
        <v>2</v>
      </c>
      <c r="J21">
        <v>13</v>
      </c>
      <c r="K21">
        <v>862</v>
      </c>
      <c r="L21">
        <v>2.77780431164773</v>
      </c>
    </row>
    <row r="22" spans="1:26" x14ac:dyDescent="0.25">
      <c r="A22">
        <v>2</v>
      </c>
      <c r="B22">
        <v>1.3732297271222</v>
      </c>
      <c r="C22">
        <v>4.0486265545573996</v>
      </c>
      <c r="D22">
        <v>1.2116694281926299</v>
      </c>
      <c r="E22">
        <v>64.9695947170257</v>
      </c>
      <c r="F22">
        <v>17</v>
      </c>
      <c r="G22">
        <v>7.2814814814814799</v>
      </c>
      <c r="H22">
        <v>7</v>
      </c>
      <c r="I22">
        <v>2</v>
      </c>
      <c r="J22">
        <v>14</v>
      </c>
      <c r="K22">
        <v>983</v>
      </c>
      <c r="L22">
        <v>3.1496312313207699</v>
      </c>
    </row>
    <row r="23" spans="1:26" x14ac:dyDescent="0.25">
      <c r="A23">
        <v>2</v>
      </c>
      <c r="B23">
        <v>1.3680848499992899</v>
      </c>
      <c r="C23">
        <v>4.0092456339915801</v>
      </c>
      <c r="D23">
        <v>1.0043485756120201</v>
      </c>
      <c r="E23">
        <v>68.791335582733097</v>
      </c>
      <c r="F23">
        <v>18</v>
      </c>
      <c r="G23">
        <v>5.4074074074074003</v>
      </c>
      <c r="H23">
        <v>5</v>
      </c>
      <c r="I23">
        <v>2</v>
      </c>
      <c r="J23">
        <v>10</v>
      </c>
      <c r="K23">
        <v>730</v>
      </c>
      <c r="L23">
        <v>2.0743504514587401</v>
      </c>
    </row>
    <row r="24" spans="1:26" x14ac:dyDescent="0.25">
      <c r="A24">
        <v>2</v>
      </c>
      <c r="B24">
        <v>1.3187183053854901</v>
      </c>
      <c r="C24">
        <v>4.0090362573147198</v>
      </c>
      <c r="D24">
        <v>1.08569446211918</v>
      </c>
      <c r="E24">
        <v>72.613076448440495</v>
      </c>
      <c r="F24">
        <v>19</v>
      </c>
      <c r="G24">
        <v>6.55555555555555</v>
      </c>
      <c r="H24">
        <v>6</v>
      </c>
      <c r="I24">
        <v>2</v>
      </c>
      <c r="J24">
        <v>12</v>
      </c>
      <c r="K24">
        <v>885</v>
      </c>
      <c r="L24">
        <v>2.55584395229006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231107_triple_4_Cell 9_SPB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2023-12-01T03:48:25Z</dcterms:created>
  <dcterms:modified xsi:type="dcterms:W3CDTF">2024-02-05T23:20:49Z</dcterms:modified>
</cp:coreProperties>
</file>