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Triple Anaphase B\"/>
    </mc:Choice>
  </mc:AlternateContent>
  <xr:revisionPtr revIDLastSave="0" documentId="13_ncr:1_{5E4C3F6C-500B-492D-B0AD-22670373A0D8}" xr6:coauthVersionLast="45" xr6:coauthVersionMax="45" xr10:uidLastSave="{00000000-0000-0000-0000-000000000000}"/>
  <bookViews>
    <workbookView xWindow="585" yWindow="555" windowWidth="27345" windowHeight="14145" xr2:uid="{00000000-000D-0000-FFFF-FFFF00000000}"/>
  </bookViews>
  <sheets>
    <sheet name="231107_triple_3_Cell 5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25" i="1" l="1"/>
  <c r="Z7" i="1" l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6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<sst xmlns="http://schemas.openxmlformats.org/spreadsheetml/2006/main" count="46" uniqueCount="33">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</sst>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'231107_triple_3_Cell 5_SPB'!$Y$6:$Y$24</c:f>
              <c:numCache>
                <c:formatCode>General</c:formatCode>
                <c:ptCount val="19"/>
                <c:pt idx="0">
                  <c:v>6.3695637385050324E-2</c:v>
                </c:pt>
                <c:pt idx="1">
                  <c:v>0.12739127477010084</c:v>
                </c:pt>
                <c:pt idx="2">
                  <c:v>0.19108691215515</c:v>
                </c:pt>
                <c:pt idx="3">
                  <c:v>0.25478254954020169</c:v>
                </c:pt>
                <c:pt idx="4">
                  <c:v>0.31847818692525171</c:v>
                </c:pt>
                <c:pt idx="5">
                  <c:v>0.38217382431030167</c:v>
                </c:pt>
                <c:pt idx="6">
                  <c:v>0.44586946169535163</c:v>
                </c:pt>
                <c:pt idx="7">
                  <c:v>0.50956509908040337</c:v>
                </c:pt>
                <c:pt idx="8">
                  <c:v>0.57326073646545339</c:v>
                </c:pt>
                <c:pt idx="9">
                  <c:v>0.63695637385050341</c:v>
                </c:pt>
                <c:pt idx="10">
                  <c:v>0.70065201123555498</c:v>
                </c:pt>
                <c:pt idx="11">
                  <c:v>0.764347648620605</c:v>
                </c:pt>
                <c:pt idx="12">
                  <c:v>0.82804328600565502</c:v>
                </c:pt>
                <c:pt idx="13">
                  <c:v>0.89173892339070493</c:v>
                </c:pt>
                <c:pt idx="14">
                  <c:v>0.95543456077575672</c:v>
                </c:pt>
                <c:pt idx="15">
                  <c:v>1.0191301981608067</c:v>
                </c:pt>
                <c:pt idx="16">
                  <c:v>1.0828258355458567</c:v>
                </c:pt>
                <c:pt idx="17">
                  <c:v>1.1465214729309068</c:v>
                </c:pt>
                <c:pt idx="18">
                  <c:v>1.2102171103159585</c:v>
                </c:pt>
              </c:numCache>
            </c:numRef>
          </c:xVal>
          <c:yVal>
            <c:numRef>
              <c:f>'231107_triple_3_Cell 5_SPB'!$Z$6:$Z$24</c:f>
              <c:numCache>
                <c:formatCode>General</c:formatCode>
                <c:ptCount val="19"/>
                <c:pt idx="0">
                  <c:v>3.8495896806025613</c:v>
                </c:pt>
                <c:pt idx="1">
                  <c:v>3.9544206772821511</c:v>
                </c:pt>
                <c:pt idx="2">
                  <c:v>3.944055734836446</c:v>
                </c:pt>
                <c:pt idx="3">
                  <c:v>3.7591281678013799</c:v>
                </c:pt>
                <c:pt idx="4">
                  <c:v>3.768621737320291</c:v>
                </c:pt>
                <c:pt idx="5">
                  <c:v>3.7662494477156585</c:v>
                </c:pt>
                <c:pt idx="6">
                  <c:v>3.4812504352473401</c:v>
                </c:pt>
                <c:pt idx="7">
                  <c:v>3.5232675851137798</c:v>
                </c:pt>
                <c:pt idx="8">
                  <c:v>3.7254192830286175</c:v>
                </c:pt>
                <c:pt idx="9">
                  <c:v>3.5435932971816788</c:v>
                </c:pt>
                <c:pt idx="10">
                  <c:v>3.8628813358867169</c:v>
                </c:pt>
                <c:pt idx="11">
                  <c:v>3.9923772152444776</c:v>
                </c:pt>
                <c:pt idx="12">
                  <c:v>3.9475304450364797</c:v>
                </c:pt>
                <c:pt idx="13">
                  <c:v>3.8480230493679044</c:v>
                </c:pt>
                <c:pt idx="14">
                  <c:v>3.7379938715080891</c:v>
                </c:pt>
                <c:pt idx="15">
                  <c:v>3.6683175602878193</c:v>
                </c:pt>
                <c:pt idx="16">
                  <c:v>3.153978918473439</c:v>
                </c:pt>
                <c:pt idx="17">
                  <c:v>3.0966857515103592</c:v>
                </c:pt>
                <c:pt idx="18">
                  <c:v>3.2015425335056871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09-4B25-A9B1-F98EAB7CC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630528"/>
        <c:axId val="717630856"/>
      </c:scatterChart>
      <c:valAx>
        <c:axId val="717630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30856"/>
        <c:crosses val="autoZero"/>
        <c:crossBetween val="midCat"/>
      </c:valAx>
      <c:valAx>
        <c:axId val="717630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630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8</xdr:row>
      <xdr:rowOff>76200</xdr:rowOff>
    </xdr:from>
    <xdr:to>
      <xdr:col>17</xdr:col>
      <xdr:colOff>361950</xdr:colOff>
      <xdr:row>22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B5573F-28B6-41E8-B0C9-ED36F9CCBA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tabSelected="1" topLeftCell="D1" workbookViewId="0">
      <selection activeCell="Z25" sqref="Z25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1</v>
      </c>
      <c r="B5">
        <v>2.3077433079172098</v>
      </c>
      <c r="C5">
        <v>2.5381464898083999</v>
      </c>
      <c r="D5">
        <v>0.94825000700668305</v>
      </c>
      <c r="E5">
        <v>0</v>
      </c>
      <c r="F5">
        <v>0</v>
      </c>
      <c r="G5">
        <v>81.214814814814801</v>
      </c>
      <c r="H5">
        <v>76</v>
      </c>
      <c r="I5">
        <v>26</v>
      </c>
      <c r="J5">
        <v>151</v>
      </c>
      <c r="K5">
        <v>10964</v>
      </c>
      <c r="L5">
        <v>32.191448105392297</v>
      </c>
    </row>
    <row r="6" spans="1:26" x14ac:dyDescent="0.25">
      <c r="A6">
        <v>1</v>
      </c>
      <c r="B6">
        <v>2.1957145916087302</v>
      </c>
      <c r="C6">
        <v>2.59222627666714</v>
      </c>
      <c r="D6">
        <v>1.05404298857087</v>
      </c>
      <c r="E6">
        <v>3.8217382431030198</v>
      </c>
      <c r="F6">
        <v>1</v>
      </c>
      <c r="G6">
        <v>55.288888888888799</v>
      </c>
      <c r="H6">
        <v>51</v>
      </c>
      <c r="I6">
        <v>21</v>
      </c>
      <c r="J6">
        <v>101</v>
      </c>
      <c r="K6">
        <v>7464</v>
      </c>
      <c r="L6">
        <v>21.423542172198701</v>
      </c>
      <c r="M6">
        <v>4</v>
      </c>
      <c r="N6">
        <v>4.9554113749506001</v>
      </c>
      <c r="O6">
        <v>5.1033688359882303</v>
      </c>
      <c r="P6">
        <v>2.0014486143619501</v>
      </c>
      <c r="Q6">
        <v>3.8217382431030198</v>
      </c>
      <c r="R6">
        <v>1</v>
      </c>
      <c r="S6">
        <v>132.888888888888</v>
      </c>
      <c r="T6">
        <v>127</v>
      </c>
      <c r="U6">
        <v>44</v>
      </c>
      <c r="V6">
        <v>244</v>
      </c>
      <c r="W6">
        <v>17940</v>
      </c>
      <c r="X6">
        <v>53.223503206124398</v>
      </c>
      <c r="Y6">
        <f>E6/60</f>
        <v>6.3695637385050324E-2</v>
      </c>
      <c r="Z6">
        <f>SQRT((B6-N6)^2+(C6-O6)^2+(D6-P6)^2)</f>
        <v>3.8495896806025613</v>
      </c>
    </row>
    <row r="7" spans="1:26" x14ac:dyDescent="0.25">
      <c r="A7">
        <v>1</v>
      </c>
      <c r="B7">
        <v>2.1914002770968302</v>
      </c>
      <c r="C7">
        <v>2.60492796975951</v>
      </c>
      <c r="D7">
        <v>0.96023681448949505</v>
      </c>
      <c r="E7">
        <v>7.6434764862060502</v>
      </c>
      <c r="F7">
        <v>2</v>
      </c>
      <c r="G7">
        <v>51.2</v>
      </c>
      <c r="H7">
        <v>49</v>
      </c>
      <c r="I7">
        <v>18</v>
      </c>
      <c r="J7">
        <v>98</v>
      </c>
      <c r="K7">
        <v>6912</v>
      </c>
      <c r="L7">
        <v>20.632100767724801</v>
      </c>
      <c r="M7">
        <v>4</v>
      </c>
      <c r="N7">
        <v>4.7940545690684297</v>
      </c>
      <c r="O7">
        <v>5.3420871023736201</v>
      </c>
      <c r="P7">
        <v>2.1313872796926701</v>
      </c>
      <c r="Q7">
        <v>7.6434764862060502</v>
      </c>
      <c r="R7">
        <v>2</v>
      </c>
      <c r="S7">
        <v>123.881481481481</v>
      </c>
      <c r="T7">
        <v>115</v>
      </c>
      <c r="U7">
        <v>39</v>
      </c>
      <c r="V7">
        <v>229</v>
      </c>
      <c r="W7">
        <v>16724</v>
      </c>
      <c r="X7">
        <v>49.979107851875703</v>
      </c>
      <c r="Y7">
        <f t="shared" ref="Y7:Y24" si="0">E7/60</f>
        <v>0.12739127477010084</v>
      </c>
      <c r="Z7">
        <f t="shared" ref="Z7:Z24" si="1">SQRT((B7-N7)^2+(C7-O7)^2+(D7-P7)^2)</f>
        <v>3.9544206772821511</v>
      </c>
    </row>
    <row r="8" spans="1:26" x14ac:dyDescent="0.25">
      <c r="A8">
        <v>1</v>
      </c>
      <c r="B8">
        <v>2.3035170612978</v>
      </c>
      <c r="C8">
        <v>2.4887058077752999</v>
      </c>
      <c r="D8">
        <v>1.10068318016537</v>
      </c>
      <c r="E8">
        <v>11.465214729309</v>
      </c>
      <c r="F8">
        <v>3</v>
      </c>
      <c r="G8">
        <v>70.385185185185094</v>
      </c>
      <c r="H8">
        <v>69</v>
      </c>
      <c r="I8">
        <v>24</v>
      </c>
      <c r="J8">
        <v>115</v>
      </c>
      <c r="K8">
        <v>9502</v>
      </c>
      <c r="L8">
        <v>23.019454843054302</v>
      </c>
      <c r="M8">
        <v>4</v>
      </c>
      <c r="N8">
        <v>4.8488567155795099</v>
      </c>
      <c r="O8">
        <v>5.2909567475761996</v>
      </c>
      <c r="P8">
        <v>2.2071240300178601</v>
      </c>
      <c r="Q8">
        <v>11.465214729309</v>
      </c>
      <c r="R8">
        <v>3</v>
      </c>
      <c r="S8">
        <v>128.42962962962901</v>
      </c>
      <c r="T8">
        <v>121</v>
      </c>
      <c r="U8">
        <v>61</v>
      </c>
      <c r="V8">
        <v>208</v>
      </c>
      <c r="W8">
        <v>17338</v>
      </c>
      <c r="X8">
        <v>37.847009531253804</v>
      </c>
      <c r="Y8">
        <f t="shared" si="0"/>
        <v>0.19108691215515</v>
      </c>
      <c r="Z8">
        <f t="shared" si="1"/>
        <v>3.944055734836446</v>
      </c>
    </row>
    <row r="9" spans="1:26" x14ac:dyDescent="0.25">
      <c r="A9">
        <v>1</v>
      </c>
      <c r="B9">
        <v>2.3279663174532699</v>
      </c>
      <c r="C9">
        <v>2.4850036073668398</v>
      </c>
      <c r="D9">
        <v>1.11497325371601</v>
      </c>
      <c r="E9">
        <v>15.2869529724121</v>
      </c>
      <c r="F9">
        <v>4</v>
      </c>
      <c r="G9">
        <v>59.066666666666599</v>
      </c>
      <c r="H9">
        <v>58</v>
      </c>
      <c r="I9">
        <v>22</v>
      </c>
      <c r="J9">
        <v>97</v>
      </c>
      <c r="K9">
        <v>7974</v>
      </c>
      <c r="L9">
        <v>19.061252405956399</v>
      </c>
      <c r="M9">
        <v>4</v>
      </c>
      <c r="N9">
        <v>4.7128003611856997</v>
      </c>
      <c r="O9">
        <v>5.19502354986074</v>
      </c>
      <c r="P9">
        <v>2.1634974914415599</v>
      </c>
      <c r="Q9">
        <v>15.2869529724121</v>
      </c>
      <c r="R9">
        <v>4</v>
      </c>
      <c r="S9">
        <v>118.985185185185</v>
      </c>
      <c r="T9">
        <v>117</v>
      </c>
      <c r="U9">
        <v>46</v>
      </c>
      <c r="V9">
        <v>195</v>
      </c>
      <c r="W9">
        <v>16063</v>
      </c>
      <c r="X9">
        <v>37.465802354247501</v>
      </c>
      <c r="Y9">
        <f t="shared" si="0"/>
        <v>0.25478254954020169</v>
      </c>
      <c r="Z9">
        <f t="shared" si="1"/>
        <v>3.7591281678013799</v>
      </c>
    </row>
    <row r="10" spans="1:26" x14ac:dyDescent="0.25">
      <c r="A10">
        <v>1</v>
      </c>
      <c r="B10">
        <v>2.2369002229481501</v>
      </c>
      <c r="C10">
        <v>2.5209049961366601</v>
      </c>
      <c r="D10">
        <v>1.2100191780001199</v>
      </c>
      <c r="E10">
        <v>19.108691215515101</v>
      </c>
      <c r="F10">
        <v>5</v>
      </c>
      <c r="G10">
        <v>40.237037037036998</v>
      </c>
      <c r="H10">
        <v>39</v>
      </c>
      <c r="I10">
        <v>14</v>
      </c>
      <c r="J10">
        <v>66</v>
      </c>
      <c r="K10">
        <v>5432</v>
      </c>
      <c r="L10">
        <v>13.2446595305695</v>
      </c>
      <c r="M10">
        <v>4</v>
      </c>
      <c r="N10">
        <v>4.7304377518694798</v>
      </c>
      <c r="O10">
        <v>5.1575535566931698</v>
      </c>
      <c r="P10">
        <v>2.2263187199557399</v>
      </c>
      <c r="Q10">
        <v>19.108691215515101</v>
      </c>
      <c r="R10">
        <v>5</v>
      </c>
      <c r="S10">
        <v>109.133333333333</v>
      </c>
      <c r="T10">
        <v>104</v>
      </c>
      <c r="U10">
        <v>50</v>
      </c>
      <c r="V10">
        <v>178</v>
      </c>
      <c r="W10">
        <v>14733</v>
      </c>
      <c r="X10">
        <v>33.276723073455699</v>
      </c>
      <c r="Y10">
        <f t="shared" si="0"/>
        <v>0.31847818692525171</v>
      </c>
      <c r="Z10">
        <f t="shared" si="1"/>
        <v>3.768621737320291</v>
      </c>
    </row>
    <row r="11" spans="1:26" x14ac:dyDescent="0.25">
      <c r="A11">
        <v>1</v>
      </c>
      <c r="B11">
        <v>2.2077467309414001</v>
      </c>
      <c r="C11">
        <v>2.56200478971608</v>
      </c>
      <c r="D11">
        <v>1.2493110285123701</v>
      </c>
      <c r="E11">
        <v>22.9304294586181</v>
      </c>
      <c r="F11">
        <v>6</v>
      </c>
      <c r="G11">
        <v>41.814814814814802</v>
      </c>
      <c r="H11">
        <v>41</v>
      </c>
      <c r="I11">
        <v>14</v>
      </c>
      <c r="J11">
        <v>67</v>
      </c>
      <c r="K11">
        <v>5645</v>
      </c>
      <c r="L11">
        <v>13.2288610227028</v>
      </c>
      <c r="M11">
        <v>4</v>
      </c>
      <c r="N11">
        <v>4.8312301817807297</v>
      </c>
      <c r="O11">
        <v>5.0337691607364397</v>
      </c>
      <c r="P11">
        <v>2.3412590033467899</v>
      </c>
      <c r="Q11">
        <v>22.9304294586181</v>
      </c>
      <c r="R11">
        <v>6</v>
      </c>
      <c r="S11">
        <v>103.229629629629</v>
      </c>
      <c r="T11">
        <v>100</v>
      </c>
      <c r="U11">
        <v>41</v>
      </c>
      <c r="V11">
        <v>171</v>
      </c>
      <c r="W11">
        <v>13936</v>
      </c>
      <c r="X11">
        <v>32.600004747902901</v>
      </c>
      <c r="Y11">
        <f t="shared" si="0"/>
        <v>0.38217382431030167</v>
      </c>
      <c r="Z11">
        <f t="shared" si="1"/>
        <v>3.7662494477156585</v>
      </c>
    </row>
    <row r="12" spans="1:26" x14ac:dyDescent="0.25">
      <c r="A12">
        <v>1</v>
      </c>
      <c r="B12">
        <v>2.33606546405169</v>
      </c>
      <c r="C12">
        <v>2.5290490933509</v>
      </c>
      <c r="D12">
        <v>1.3940943687455101</v>
      </c>
      <c r="E12">
        <v>26.752167701721099</v>
      </c>
      <c r="F12">
        <v>7</v>
      </c>
      <c r="G12">
        <v>24.266666666666602</v>
      </c>
      <c r="H12">
        <v>23</v>
      </c>
      <c r="I12">
        <v>9</v>
      </c>
      <c r="J12">
        <v>44</v>
      </c>
      <c r="K12">
        <v>3276</v>
      </c>
      <c r="L12">
        <v>9.5066355459218599</v>
      </c>
      <c r="M12">
        <v>4</v>
      </c>
      <c r="N12">
        <v>4.7626860439330096</v>
      </c>
      <c r="O12">
        <v>4.85310792422099</v>
      </c>
      <c r="P12">
        <v>2.3047906435051</v>
      </c>
      <c r="Q12">
        <v>26.752167701721099</v>
      </c>
      <c r="R12">
        <v>7</v>
      </c>
      <c r="S12">
        <v>62.829629629629601</v>
      </c>
      <c r="T12">
        <v>58</v>
      </c>
      <c r="U12">
        <v>24</v>
      </c>
      <c r="V12">
        <v>114</v>
      </c>
      <c r="W12">
        <v>8482</v>
      </c>
      <c r="X12">
        <v>23.5981724376934</v>
      </c>
      <c r="Y12">
        <f t="shared" si="0"/>
        <v>0.44586946169535163</v>
      </c>
      <c r="Z12">
        <f t="shared" si="1"/>
        <v>3.4812504352473401</v>
      </c>
    </row>
    <row r="13" spans="1:26" x14ac:dyDescent="0.25">
      <c r="A13">
        <v>1</v>
      </c>
      <c r="B13">
        <v>2.4249755504913799</v>
      </c>
      <c r="C13">
        <v>2.5959447482395501</v>
      </c>
      <c r="D13">
        <v>1.1694760431868101</v>
      </c>
      <c r="E13">
        <v>30.573905944824201</v>
      </c>
      <c r="F13">
        <v>8</v>
      </c>
      <c r="G13">
        <v>32.762962962962902</v>
      </c>
      <c r="H13">
        <v>32</v>
      </c>
      <c r="I13">
        <v>12</v>
      </c>
      <c r="J13">
        <v>54</v>
      </c>
      <c r="K13">
        <v>4423</v>
      </c>
      <c r="L13">
        <v>10.540049709168899</v>
      </c>
      <c r="M13">
        <v>4</v>
      </c>
      <c r="N13">
        <v>4.8401746097297904</v>
      </c>
      <c r="O13">
        <v>4.96863145385917</v>
      </c>
      <c r="P13">
        <v>2.14445592889897</v>
      </c>
      <c r="Q13">
        <v>30.573905944824201</v>
      </c>
      <c r="R13">
        <v>8</v>
      </c>
      <c r="S13">
        <v>67.948148148148107</v>
      </c>
      <c r="T13">
        <v>66</v>
      </c>
      <c r="U13">
        <v>27</v>
      </c>
      <c r="V13">
        <v>112</v>
      </c>
      <c r="W13">
        <v>9173</v>
      </c>
      <c r="X13">
        <v>22.2895861228988</v>
      </c>
      <c r="Y13">
        <f t="shared" si="0"/>
        <v>0.50956509908040337</v>
      </c>
      <c r="Z13">
        <f t="shared" si="1"/>
        <v>3.5232675851137798</v>
      </c>
    </row>
    <row r="14" spans="1:26" x14ac:dyDescent="0.25">
      <c r="A14">
        <v>1</v>
      </c>
      <c r="B14">
        <v>2.3622163454943901</v>
      </c>
      <c r="C14">
        <v>2.6063709570520999</v>
      </c>
      <c r="D14">
        <v>1.1772421580505401</v>
      </c>
      <c r="E14">
        <v>34.395644187927203</v>
      </c>
      <c r="F14">
        <v>9</v>
      </c>
      <c r="G14">
        <v>16.3629629629629</v>
      </c>
      <c r="H14">
        <v>16</v>
      </c>
      <c r="I14">
        <v>6</v>
      </c>
      <c r="J14">
        <v>28</v>
      </c>
      <c r="K14">
        <v>2209</v>
      </c>
      <c r="L14">
        <v>5.8330087566653299</v>
      </c>
      <c r="M14">
        <v>4</v>
      </c>
      <c r="N14">
        <v>4.8904723282448996</v>
      </c>
      <c r="O14">
        <v>5.1161501502790196</v>
      </c>
      <c r="P14">
        <v>2.26704898556308</v>
      </c>
      <c r="Q14">
        <v>34.395644187927203</v>
      </c>
      <c r="R14">
        <v>9</v>
      </c>
      <c r="S14">
        <v>52.577777777777698</v>
      </c>
      <c r="T14">
        <v>50</v>
      </c>
      <c r="U14">
        <v>16</v>
      </c>
      <c r="V14">
        <v>97</v>
      </c>
      <c r="W14">
        <v>7098</v>
      </c>
      <c r="X14">
        <v>21.605163377700102</v>
      </c>
      <c r="Y14">
        <f t="shared" si="0"/>
        <v>0.57326073646545339</v>
      </c>
      <c r="Z14">
        <f t="shared" si="1"/>
        <v>3.7254192830286175</v>
      </c>
    </row>
    <row r="15" spans="1:26" x14ac:dyDescent="0.25">
      <c r="A15">
        <v>1</v>
      </c>
      <c r="B15">
        <v>2.4068714917507599</v>
      </c>
      <c r="C15">
        <v>2.7037035228426101</v>
      </c>
      <c r="D15">
        <v>1.3811657389179499</v>
      </c>
      <c r="E15">
        <v>38.217382431030202</v>
      </c>
      <c r="F15">
        <v>10</v>
      </c>
      <c r="G15">
        <v>18.5259259259259</v>
      </c>
      <c r="H15">
        <v>18</v>
      </c>
      <c r="I15">
        <v>5</v>
      </c>
      <c r="J15">
        <v>34</v>
      </c>
      <c r="K15">
        <v>2501</v>
      </c>
      <c r="L15">
        <v>6.7490514862920801</v>
      </c>
      <c r="M15">
        <v>4</v>
      </c>
      <c r="N15">
        <v>4.7690183398745098</v>
      </c>
      <c r="O15">
        <v>5.1743319277591198</v>
      </c>
      <c r="P15">
        <v>2.3156768456200898</v>
      </c>
      <c r="Q15">
        <v>38.217382431030202</v>
      </c>
      <c r="R15">
        <v>10</v>
      </c>
      <c r="S15">
        <v>39.274074074074001</v>
      </c>
      <c r="T15">
        <v>38</v>
      </c>
      <c r="U15">
        <v>12</v>
      </c>
      <c r="V15">
        <v>69</v>
      </c>
      <c r="W15">
        <v>5302</v>
      </c>
      <c r="X15">
        <v>14.9063893090606</v>
      </c>
      <c r="Y15">
        <f t="shared" si="0"/>
        <v>0.63695637385050341</v>
      </c>
      <c r="Z15">
        <f t="shared" si="1"/>
        <v>3.5435932971816788</v>
      </c>
    </row>
    <row r="16" spans="1:26" x14ac:dyDescent="0.25">
      <c r="A16">
        <v>1</v>
      </c>
      <c r="B16">
        <v>2.3498791473709</v>
      </c>
      <c r="C16">
        <v>2.58494119069108</v>
      </c>
      <c r="D16">
        <v>1.4050533483048799</v>
      </c>
      <c r="E16">
        <v>42.039120674133301</v>
      </c>
      <c r="F16">
        <v>11</v>
      </c>
      <c r="G16">
        <v>13.6148148148148</v>
      </c>
      <c r="H16">
        <v>13</v>
      </c>
      <c r="I16">
        <v>4</v>
      </c>
      <c r="J16">
        <v>26</v>
      </c>
      <c r="K16">
        <v>1838</v>
      </c>
      <c r="L16">
        <v>5.4375493618417297</v>
      </c>
      <c r="M16">
        <v>4</v>
      </c>
      <c r="N16">
        <v>4.8736301990747899</v>
      </c>
      <c r="O16">
        <v>5.3569693856172202</v>
      </c>
      <c r="P16">
        <v>2.3369291612220202</v>
      </c>
      <c r="Q16">
        <v>42.039120674133301</v>
      </c>
      <c r="R16">
        <v>11</v>
      </c>
      <c r="S16">
        <v>31.474074074074</v>
      </c>
      <c r="T16">
        <v>31</v>
      </c>
      <c r="U16">
        <v>10</v>
      </c>
      <c r="V16">
        <v>56</v>
      </c>
      <c r="W16">
        <v>4249</v>
      </c>
      <c r="X16">
        <v>12.0952868763555</v>
      </c>
      <c r="Y16">
        <f t="shared" si="0"/>
        <v>0.70065201123555498</v>
      </c>
      <c r="Z16">
        <f t="shared" si="1"/>
        <v>3.8628813358867169</v>
      </c>
    </row>
    <row r="17" spans="1:26" x14ac:dyDescent="0.25">
      <c r="A17">
        <v>1</v>
      </c>
      <c r="B17">
        <v>2.3093396646194999</v>
      </c>
      <c r="C17">
        <v>2.5670587995034002</v>
      </c>
      <c r="D17">
        <v>1.33426745851811</v>
      </c>
      <c r="E17">
        <v>45.8608589172363</v>
      </c>
      <c r="F17">
        <v>12</v>
      </c>
      <c r="G17">
        <v>11.259259259259199</v>
      </c>
      <c r="H17">
        <v>11</v>
      </c>
      <c r="I17">
        <v>4</v>
      </c>
      <c r="J17">
        <v>22</v>
      </c>
      <c r="K17">
        <v>1520</v>
      </c>
      <c r="L17">
        <v>4.6712249711173701</v>
      </c>
      <c r="M17">
        <v>4</v>
      </c>
      <c r="N17">
        <v>4.8703768883634098</v>
      </c>
      <c r="O17">
        <v>5.4550437057240799</v>
      </c>
      <c r="P17">
        <v>2.3539278671066102</v>
      </c>
      <c r="Q17">
        <v>45.8608589172363</v>
      </c>
      <c r="R17">
        <v>12</v>
      </c>
      <c r="S17">
        <v>20.007407407407399</v>
      </c>
      <c r="T17">
        <v>19</v>
      </c>
      <c r="U17">
        <v>5</v>
      </c>
      <c r="V17">
        <v>37</v>
      </c>
      <c r="W17">
        <v>2701</v>
      </c>
      <c r="X17">
        <v>8.0246786296337103</v>
      </c>
      <c r="Y17">
        <f t="shared" si="0"/>
        <v>0.764347648620605</v>
      </c>
      <c r="Z17">
        <f t="shared" si="1"/>
        <v>3.9923772152444776</v>
      </c>
    </row>
    <row r="18" spans="1:26" x14ac:dyDescent="0.25">
      <c r="A18">
        <v>1</v>
      </c>
      <c r="B18">
        <v>2.2381780429700799</v>
      </c>
      <c r="C18">
        <v>2.5749687563163199</v>
      </c>
      <c r="D18">
        <v>1.3139431302893501</v>
      </c>
      <c r="E18">
        <v>49.682597160339299</v>
      </c>
      <c r="F18">
        <v>13</v>
      </c>
      <c r="G18">
        <v>6.4666666666666597</v>
      </c>
      <c r="H18">
        <v>6</v>
      </c>
      <c r="I18">
        <v>2</v>
      </c>
      <c r="J18">
        <v>12</v>
      </c>
      <c r="K18">
        <v>873</v>
      </c>
      <c r="L18">
        <v>2.4274549045106499</v>
      </c>
      <c r="M18">
        <v>4</v>
      </c>
      <c r="N18">
        <v>4.7150596757915597</v>
      </c>
      <c r="O18">
        <v>5.4349827780949003</v>
      </c>
      <c r="P18">
        <v>2.4401641506541001</v>
      </c>
      <c r="Q18">
        <v>49.682597160339299</v>
      </c>
      <c r="R18">
        <v>13</v>
      </c>
      <c r="S18">
        <v>20.674074074073999</v>
      </c>
      <c r="T18">
        <v>20</v>
      </c>
      <c r="U18">
        <v>7</v>
      </c>
      <c r="V18">
        <v>38</v>
      </c>
      <c r="W18">
        <v>2791</v>
      </c>
      <c r="X18">
        <v>8.2043214219380705</v>
      </c>
      <c r="Y18">
        <f t="shared" si="0"/>
        <v>0.82804328600565502</v>
      </c>
      <c r="Z18">
        <f t="shared" si="1"/>
        <v>3.9475304450364797</v>
      </c>
    </row>
    <row r="19" spans="1:26" x14ac:dyDescent="0.25">
      <c r="A19">
        <v>1</v>
      </c>
      <c r="B19">
        <v>2.1874453237698801</v>
      </c>
      <c r="C19">
        <v>2.6490197159978499</v>
      </c>
      <c r="D19">
        <v>1.2865244348354801</v>
      </c>
      <c r="E19">
        <v>53.504335403442298</v>
      </c>
      <c r="F19">
        <v>14</v>
      </c>
      <c r="G19">
        <v>5.2888888888888799</v>
      </c>
      <c r="H19">
        <v>5</v>
      </c>
      <c r="I19">
        <v>2</v>
      </c>
      <c r="J19">
        <v>9</v>
      </c>
      <c r="K19">
        <v>714</v>
      </c>
      <c r="L19">
        <v>1.8441786857231599</v>
      </c>
      <c r="M19">
        <v>4</v>
      </c>
      <c r="N19">
        <v>4.6829631364564799</v>
      </c>
      <c r="O19">
        <v>5.3746694977404896</v>
      </c>
      <c r="P19">
        <v>2.3591406300874702</v>
      </c>
      <c r="Q19">
        <v>53.504335403442298</v>
      </c>
      <c r="R19">
        <v>14</v>
      </c>
      <c r="S19">
        <v>20.429629629629598</v>
      </c>
      <c r="T19">
        <v>19</v>
      </c>
      <c r="U19">
        <v>6</v>
      </c>
      <c r="V19">
        <v>38</v>
      </c>
      <c r="W19">
        <v>2758</v>
      </c>
      <c r="X19">
        <v>8.42131334879058</v>
      </c>
      <c r="Y19">
        <f t="shared" si="0"/>
        <v>0.89173892339070493</v>
      </c>
      <c r="Z19">
        <f t="shared" si="1"/>
        <v>3.8480230493679044</v>
      </c>
    </row>
    <row r="20" spans="1:26" x14ac:dyDescent="0.25">
      <c r="A20">
        <v>1</v>
      </c>
      <c r="B20">
        <v>2.15711444058836</v>
      </c>
      <c r="C20">
        <v>2.7485582236364601</v>
      </c>
      <c r="D20">
        <v>1.0047761158416799</v>
      </c>
      <c r="E20">
        <v>57.326073646545403</v>
      </c>
      <c r="F20">
        <v>15</v>
      </c>
      <c r="G20">
        <v>8.7481481481481396</v>
      </c>
      <c r="H20">
        <v>8</v>
      </c>
      <c r="I20">
        <v>3</v>
      </c>
      <c r="J20">
        <v>17</v>
      </c>
      <c r="K20">
        <v>1181</v>
      </c>
      <c r="L20">
        <v>3.6563551676795099</v>
      </c>
      <c r="M20">
        <v>4</v>
      </c>
      <c r="N20">
        <v>4.5795215005590402</v>
      </c>
      <c r="O20">
        <v>5.2871698044881601</v>
      </c>
      <c r="P20">
        <v>2.2931834508106599</v>
      </c>
      <c r="Q20">
        <v>57.326073646545403</v>
      </c>
      <c r="R20">
        <v>15</v>
      </c>
      <c r="S20">
        <v>34.577777777777698</v>
      </c>
      <c r="T20">
        <v>32</v>
      </c>
      <c r="U20">
        <v>10</v>
      </c>
      <c r="V20">
        <v>66</v>
      </c>
      <c r="W20">
        <v>4668</v>
      </c>
      <c r="X20">
        <v>14.059291646168999</v>
      </c>
      <c r="Y20">
        <f t="shared" si="0"/>
        <v>0.95543456077575672</v>
      </c>
      <c r="Z20">
        <f t="shared" si="1"/>
        <v>3.7379938715080891</v>
      </c>
    </row>
    <row r="21" spans="1:26" x14ac:dyDescent="0.25">
      <c r="A21">
        <v>1</v>
      </c>
      <c r="B21">
        <v>2.1984287359455399</v>
      </c>
      <c r="C21">
        <v>2.7486219701160302</v>
      </c>
      <c r="D21">
        <v>1.10424627778331</v>
      </c>
      <c r="E21">
        <v>61.147811889648402</v>
      </c>
      <c r="F21">
        <v>16</v>
      </c>
      <c r="G21">
        <v>9.3037037037037003</v>
      </c>
      <c r="H21">
        <v>9</v>
      </c>
      <c r="I21">
        <v>3</v>
      </c>
      <c r="J21">
        <v>17</v>
      </c>
      <c r="K21">
        <v>1256</v>
      </c>
      <c r="L21">
        <v>3.6859435983287598</v>
      </c>
      <c r="M21">
        <v>4</v>
      </c>
      <c r="N21">
        <v>4.5951849723414098</v>
      </c>
      <c r="O21">
        <v>5.2472287783219</v>
      </c>
      <c r="P21">
        <v>2.3163012618499401</v>
      </c>
      <c r="Q21">
        <v>61.147811889648402</v>
      </c>
      <c r="R21">
        <v>16</v>
      </c>
      <c r="S21">
        <v>19.518518518518501</v>
      </c>
      <c r="T21">
        <v>19</v>
      </c>
      <c r="U21">
        <v>6</v>
      </c>
      <c r="V21">
        <v>36</v>
      </c>
      <c r="W21">
        <v>2635</v>
      </c>
      <c r="X21">
        <v>7.7717934808020104</v>
      </c>
      <c r="Y21">
        <f t="shared" si="0"/>
        <v>1.0191301981608067</v>
      </c>
      <c r="Z21">
        <f t="shared" si="1"/>
        <v>3.6683175602878193</v>
      </c>
    </row>
    <row r="22" spans="1:26" x14ac:dyDescent="0.25">
      <c r="A22">
        <v>1</v>
      </c>
      <c r="B22">
        <v>2.48032950138133</v>
      </c>
      <c r="C22">
        <v>3.1045928239455201</v>
      </c>
      <c r="D22">
        <v>1.0050629389571699</v>
      </c>
      <c r="E22">
        <v>64.969550132751394</v>
      </c>
      <c r="F22">
        <v>17</v>
      </c>
      <c r="G22">
        <v>6.1703703703703701</v>
      </c>
      <c r="H22">
        <v>6</v>
      </c>
      <c r="I22">
        <v>2</v>
      </c>
      <c r="J22">
        <v>10</v>
      </c>
      <c r="K22">
        <v>833</v>
      </c>
      <c r="L22">
        <v>2.1073458610821301</v>
      </c>
      <c r="M22">
        <v>4</v>
      </c>
      <c r="N22">
        <v>4.5234054928834597</v>
      </c>
      <c r="O22">
        <v>5.1854576853255097</v>
      </c>
      <c r="P22">
        <v>2.2064891496736299</v>
      </c>
      <c r="Q22">
        <v>64.969550132751394</v>
      </c>
      <c r="R22">
        <v>17</v>
      </c>
      <c r="S22">
        <v>23.533333333333299</v>
      </c>
      <c r="T22">
        <v>23</v>
      </c>
      <c r="U22">
        <v>7</v>
      </c>
      <c r="V22">
        <v>43</v>
      </c>
      <c r="W22">
        <v>3177</v>
      </c>
      <c r="X22">
        <v>9.5985073466441602</v>
      </c>
      <c r="Y22">
        <f t="shared" si="0"/>
        <v>1.0828258355458567</v>
      </c>
      <c r="Z22">
        <f t="shared" si="1"/>
        <v>3.153978918473439</v>
      </c>
    </row>
    <row r="23" spans="1:26" x14ac:dyDescent="0.25">
      <c r="A23">
        <v>1</v>
      </c>
      <c r="B23">
        <v>2.4869973609219902</v>
      </c>
      <c r="C23">
        <v>3.09602413218491</v>
      </c>
      <c r="D23">
        <v>1.0959196345514</v>
      </c>
      <c r="E23">
        <v>68.791288375854407</v>
      </c>
      <c r="F23">
        <v>18</v>
      </c>
      <c r="G23">
        <v>9.7185185185185095</v>
      </c>
      <c r="H23">
        <v>9</v>
      </c>
      <c r="I23">
        <v>3</v>
      </c>
      <c r="J23">
        <v>19</v>
      </c>
      <c r="K23">
        <v>1312</v>
      </c>
      <c r="L23">
        <v>3.8953701026468299</v>
      </c>
      <c r="M23">
        <v>4</v>
      </c>
      <c r="N23">
        <v>4.5094004894435296</v>
      </c>
      <c r="O23">
        <v>5.1451231674088103</v>
      </c>
      <c r="P23">
        <v>2.2363324427914901</v>
      </c>
      <c r="Q23">
        <v>68.791288375854407</v>
      </c>
      <c r="R23">
        <v>18</v>
      </c>
      <c r="S23">
        <v>22.703703703703699</v>
      </c>
      <c r="T23">
        <v>23</v>
      </c>
      <c r="U23">
        <v>8</v>
      </c>
      <c r="V23">
        <v>41</v>
      </c>
      <c r="W23">
        <v>3065</v>
      </c>
      <c r="X23">
        <v>8.7032967454816497</v>
      </c>
      <c r="Y23">
        <f t="shared" si="0"/>
        <v>1.1465214729309068</v>
      </c>
      <c r="Z23">
        <f t="shared" si="1"/>
        <v>3.0966857515103592</v>
      </c>
    </row>
    <row r="24" spans="1:26" x14ac:dyDescent="0.25">
      <c r="A24">
        <v>1</v>
      </c>
      <c r="B24">
        <v>2.3752643086958298</v>
      </c>
      <c r="C24">
        <v>3.0816633417183801</v>
      </c>
      <c r="D24">
        <v>1.1214752712135101</v>
      </c>
      <c r="E24">
        <v>72.613026618957505</v>
      </c>
      <c r="F24">
        <v>19</v>
      </c>
      <c r="G24">
        <v>5.2740740740740701</v>
      </c>
      <c r="H24">
        <v>5</v>
      </c>
      <c r="I24">
        <v>1</v>
      </c>
      <c r="J24">
        <v>10</v>
      </c>
      <c r="K24">
        <v>712</v>
      </c>
      <c r="L24">
        <v>2.1869000401291401</v>
      </c>
      <c r="M24">
        <v>4</v>
      </c>
      <c r="N24">
        <v>4.52915107818027</v>
      </c>
      <c r="O24">
        <v>5.1736807482336697</v>
      </c>
      <c r="P24">
        <v>2.23238010463667</v>
      </c>
      <c r="Q24">
        <v>72.613026618957505</v>
      </c>
      <c r="R24">
        <v>19</v>
      </c>
      <c r="S24">
        <v>20.8</v>
      </c>
      <c r="T24">
        <v>20</v>
      </c>
      <c r="U24">
        <v>7</v>
      </c>
      <c r="V24">
        <v>38</v>
      </c>
      <c r="W24">
        <v>2808</v>
      </c>
      <c r="X24">
        <v>7.9398860851259103</v>
      </c>
      <c r="Y24">
        <f t="shared" si="0"/>
        <v>1.2102171103159585</v>
      </c>
      <c r="Z24">
        <f t="shared" si="1"/>
        <v>3.2015425335056871</v>
      </c>
    </row>
    <row r="25" spans="1:26" x14ac:dyDescent="0.25">
      <c r="Z25">
        <f>AVERAGE(Z6:Z24)</f>
        <v>3.6749961435237304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231107_triple_3_Cell 5_SPB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2023-12-01T02:54:53Z</dcterms:created>
  <dcterms:modified xsi:type="dcterms:W3CDTF">2024-02-05T22:56:17Z</dcterms:modified>
</cp:coreProperties>
</file>