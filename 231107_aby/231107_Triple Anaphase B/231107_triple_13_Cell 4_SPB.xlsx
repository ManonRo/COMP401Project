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Anaphase A triple\"/>
    </mc:Choice>
  </mc:AlternateContent>
  <xr:revisionPtr revIDLastSave="0" documentId="13_ncr:40009_{212824DD-3CFE-4F41-8643-D0CB1F22BF8E}" xr6:coauthVersionLast="45" xr6:coauthVersionMax="45" xr10:uidLastSave="{00000000-0000-0000-0000-000000000000}"/>
  <bookViews>
    <workbookView xWindow="465" yWindow="930" windowWidth="27330" windowHeight="14145"/>
  </bookViews>
  <sheets>
    <sheet name="231107_triple_13_Cell 4_SPB" sheetId="1" r:id="rId1"/>
  </sheets>
  <calcPr calcId="0"/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<sst xmlns="http://schemas.openxmlformats.org/spreadsheetml/2006/main" count="46" uniqueCount="33">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</sst>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'231107_triple_13_Cell 4_SPB'!$Y$5:$Y$24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6.3723595937093008E-2</c:v>
                </c:pt>
                <c:pt idx="2">
                  <c:v>0.12744719187418616</c:v>
                </c:pt>
                <c:pt idx="3">
                  <c:v>0.19117078781127833</c:v>
                </c:pt>
                <c:pt idx="4">
                  <c:v>0.25489438374837164</c:v>
                </c:pt>
                <c:pt idx="5">
                  <c:v>0.31861797968546501</c:v>
                </c:pt>
                <c:pt idx="6">
                  <c:v>0.38234157562255838</c:v>
                </c:pt>
                <c:pt idx="7">
                  <c:v>0.4460651715596517</c:v>
                </c:pt>
                <c:pt idx="8">
                  <c:v>0.50978876749674329</c:v>
                </c:pt>
                <c:pt idx="9">
                  <c:v>0.57351236343383671</c:v>
                </c:pt>
                <c:pt idx="10">
                  <c:v>0.63723595937093003</c:v>
                </c:pt>
                <c:pt idx="11">
                  <c:v>0.70095955530802334</c:v>
                </c:pt>
                <c:pt idx="12">
                  <c:v>0.76468315124511677</c:v>
                </c:pt>
                <c:pt idx="13">
                  <c:v>0.82840674718221008</c:v>
                </c:pt>
                <c:pt idx="14">
                  <c:v>0.89213034311930339</c:v>
                </c:pt>
                <c:pt idx="15">
                  <c:v>0.95585393905639493</c:v>
                </c:pt>
                <c:pt idx="16">
                  <c:v>1.0195775349934884</c:v>
                </c:pt>
                <c:pt idx="17">
                  <c:v>1.0833011309305818</c:v>
                </c:pt>
                <c:pt idx="18">
                  <c:v>1.147024726867675</c:v>
                </c:pt>
                <c:pt idx="19">
                  <c:v>1.2107483228047684</c:v>
                </c:pt>
              </c:numCache>
            </c:numRef>
          </c:xVal>
          <c:yVal>
            <c:numRef>
              <c:f>'231107_triple_13_Cell 4_SPB'!$Z$5:$Z$24</c:f>
              <c:numCache>
                <c:formatCode>General</c:formatCode>
                <c:ptCount val="20"/>
                <c:pt idx="0">
                  <c:v>3.732482914921436</c:v>
                </c:pt>
                <c:pt idx="1">
                  <c:v>3.7399772107392657</c:v>
                </c:pt>
                <c:pt idx="2">
                  <c:v>3.6137532823408995</c:v>
                </c:pt>
                <c:pt idx="3">
                  <c:v>3.5755653474759352</c:v>
                </c:pt>
                <c:pt idx="4">
                  <c:v>3.4846829446650909</c:v>
                </c:pt>
                <c:pt idx="5">
                  <c:v>3.3180442513071311</c:v>
                </c:pt>
                <c:pt idx="6">
                  <c:v>3.3148324111684775</c:v>
                </c:pt>
                <c:pt idx="7">
                  <c:v>3.354837515381913</c:v>
                </c:pt>
                <c:pt idx="8">
                  <c:v>3.593852954567847</c:v>
                </c:pt>
                <c:pt idx="9">
                  <c:v>3.7140566297070738</c:v>
                </c:pt>
                <c:pt idx="10">
                  <c:v>3.7050236514092045</c:v>
                </c:pt>
                <c:pt idx="11">
                  <c:v>3.5310194718146617</c:v>
                </c:pt>
                <c:pt idx="12">
                  <c:v>3.6229447534288228</c:v>
                </c:pt>
                <c:pt idx="13">
                  <c:v>3.6058137788113509</c:v>
                </c:pt>
                <c:pt idx="14">
                  <c:v>3.4777012590197507</c:v>
                </c:pt>
                <c:pt idx="15">
                  <c:v>3.492803366556954</c:v>
                </c:pt>
                <c:pt idx="16">
                  <c:v>3.4670920805239365</c:v>
                </c:pt>
                <c:pt idx="17">
                  <c:v>3.4454335361312123</c:v>
                </c:pt>
                <c:pt idx="18">
                  <c:v>3.4035537552677373</c:v>
                </c:pt>
                <c:pt idx="19">
                  <c:v>3.3702625376807389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60-45D9-95F3-BCF84CE29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7631184"/>
        <c:axId val="717631512"/>
      </c:scatterChart>
      <c:valAx>
        <c:axId val="717631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631512"/>
        <c:crosses val="autoZero"/>
        <c:crossBetween val="midCat"/>
      </c:valAx>
      <c:valAx>
        <c:axId val="71763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631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76200</xdr:rowOff>
    </xdr:from>
    <xdr:to>
      <xdr:col>17</xdr:col>
      <xdr:colOff>361950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BF3FDA-6BF5-429E-ABF9-04D6A2C989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tabSelected="1" topLeftCell="D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3</v>
      </c>
      <c r="B5">
        <v>3.1430611252948801</v>
      </c>
      <c r="C5">
        <v>2.6208038268312301</v>
      </c>
      <c r="D5">
        <v>1.73706140506718</v>
      </c>
      <c r="E5">
        <v>0</v>
      </c>
      <c r="F5">
        <v>0</v>
      </c>
      <c r="G5">
        <v>59.925925925925903</v>
      </c>
      <c r="H5">
        <v>58</v>
      </c>
      <c r="I5">
        <v>25</v>
      </c>
      <c r="J5">
        <v>98</v>
      </c>
      <c r="K5">
        <v>8090</v>
      </c>
      <c r="L5">
        <v>18.980205568626101</v>
      </c>
      <c r="M5">
        <v>4</v>
      </c>
      <c r="N5">
        <v>5.6098922159960498</v>
      </c>
      <c r="O5">
        <v>5.1377348808449597</v>
      </c>
      <c r="P5">
        <v>0.50773998677502596</v>
      </c>
      <c r="Q5">
        <v>0</v>
      </c>
      <c r="R5">
        <v>0</v>
      </c>
      <c r="S5">
        <v>270.52592592592498</v>
      </c>
      <c r="T5">
        <v>263</v>
      </c>
      <c r="U5">
        <v>108</v>
      </c>
      <c r="V5">
        <v>456</v>
      </c>
      <c r="W5">
        <v>36521</v>
      </c>
      <c r="X5">
        <v>87.008820073550496</v>
      </c>
      <c r="Y5">
        <f>E5/60</f>
        <v>0</v>
      </c>
      <c r="Z5">
        <f>SQRT((B5-N5)^2+(C5-O5)^2+(D5-P5)^2)</f>
        <v>3.732482914921436</v>
      </c>
    </row>
    <row r="6" spans="1:26" x14ac:dyDescent="0.25">
      <c r="A6">
        <v>3</v>
      </c>
      <c r="B6">
        <v>3.17009458719799</v>
      </c>
      <c r="C6">
        <v>2.5218491488418802</v>
      </c>
      <c r="D6">
        <v>1.5822969641326401</v>
      </c>
      <c r="E6">
        <v>3.8234157562255802</v>
      </c>
      <c r="F6">
        <v>1</v>
      </c>
      <c r="G6">
        <v>55.2814814814814</v>
      </c>
      <c r="H6">
        <v>55</v>
      </c>
      <c r="I6">
        <v>23</v>
      </c>
      <c r="J6">
        <v>89</v>
      </c>
      <c r="K6">
        <v>7463</v>
      </c>
      <c r="L6">
        <v>17.2370010948557</v>
      </c>
      <c r="M6">
        <v>4</v>
      </c>
      <c r="N6">
        <v>5.5751782029514896</v>
      </c>
      <c r="O6">
        <v>5.1658544740713799</v>
      </c>
      <c r="P6">
        <v>0.48128008041051601</v>
      </c>
      <c r="Q6">
        <v>3.8234157562255802</v>
      </c>
      <c r="R6">
        <v>1</v>
      </c>
      <c r="S6">
        <v>210.70370370370301</v>
      </c>
      <c r="T6">
        <v>196</v>
      </c>
      <c r="U6">
        <v>95</v>
      </c>
      <c r="V6">
        <v>356</v>
      </c>
      <c r="W6">
        <v>28445</v>
      </c>
      <c r="X6">
        <v>66.497343014373499</v>
      </c>
      <c r="Y6">
        <f t="shared" ref="Y6:Y24" si="0">E6/60</f>
        <v>6.3723595937093008E-2</v>
      </c>
      <c r="Z6">
        <f t="shared" ref="Z6:Z24" si="1">SQRT((B6-N6)^2+(C6-O6)^2+(D6-P6)^2)</f>
        <v>3.7399772107392657</v>
      </c>
    </row>
    <row r="7" spans="1:26" x14ac:dyDescent="0.25">
      <c r="A7">
        <v>3</v>
      </c>
      <c r="B7">
        <v>3.1678930491406798</v>
      </c>
      <c r="C7">
        <v>2.55239417418341</v>
      </c>
      <c r="D7">
        <v>1.6476541802264499</v>
      </c>
      <c r="E7">
        <v>7.6468315124511701</v>
      </c>
      <c r="F7">
        <v>2</v>
      </c>
      <c r="G7">
        <v>48.681481481481399</v>
      </c>
      <c r="H7">
        <v>49</v>
      </c>
      <c r="I7">
        <v>21</v>
      </c>
      <c r="J7">
        <v>79</v>
      </c>
      <c r="K7">
        <v>6572</v>
      </c>
      <c r="L7">
        <v>14.9385067146438</v>
      </c>
      <c r="M7">
        <v>4</v>
      </c>
      <c r="N7">
        <v>5.4878702666332497</v>
      </c>
      <c r="O7">
        <v>5.0642450693509398</v>
      </c>
      <c r="P7">
        <v>0.47824254338032401</v>
      </c>
      <c r="Q7">
        <v>7.6468315124511701</v>
      </c>
      <c r="R7">
        <v>2</v>
      </c>
      <c r="S7">
        <v>166.84444444444401</v>
      </c>
      <c r="T7">
        <v>161</v>
      </c>
      <c r="U7">
        <v>66</v>
      </c>
      <c r="V7">
        <v>280</v>
      </c>
      <c r="W7">
        <v>22524</v>
      </c>
      <c r="X7">
        <v>54.523836587486201</v>
      </c>
      <c r="Y7">
        <f t="shared" si="0"/>
        <v>0.12744719187418616</v>
      </c>
      <c r="Z7">
        <f t="shared" si="1"/>
        <v>3.6137532823408995</v>
      </c>
    </row>
    <row r="8" spans="1:26" x14ac:dyDescent="0.25">
      <c r="A8">
        <v>3</v>
      </c>
      <c r="B8">
        <v>3.1279927017136901</v>
      </c>
      <c r="C8">
        <v>2.60261772270304</v>
      </c>
      <c r="D8">
        <v>1.65921044014254</v>
      </c>
      <c r="E8">
        <v>11.470247268676699</v>
      </c>
      <c r="F8">
        <v>3</v>
      </c>
      <c r="G8">
        <v>39.718518518518501</v>
      </c>
      <c r="H8">
        <v>39</v>
      </c>
      <c r="I8">
        <v>17</v>
      </c>
      <c r="J8">
        <v>66</v>
      </c>
      <c r="K8">
        <v>5362</v>
      </c>
      <c r="L8">
        <v>12.1763484048133</v>
      </c>
      <c r="M8">
        <v>4</v>
      </c>
      <c r="N8">
        <v>5.5128423435682699</v>
      </c>
      <c r="O8">
        <v>5.04772935989359</v>
      </c>
      <c r="P8">
        <v>0.60157684503876496</v>
      </c>
      <c r="Q8">
        <v>11.470247268676699</v>
      </c>
      <c r="R8">
        <v>3</v>
      </c>
      <c r="S8">
        <v>132.84444444444401</v>
      </c>
      <c r="T8">
        <v>130</v>
      </c>
      <c r="U8">
        <v>54</v>
      </c>
      <c r="V8">
        <v>225</v>
      </c>
      <c r="W8">
        <v>17934</v>
      </c>
      <c r="X8">
        <v>42.7292529156123</v>
      </c>
      <c r="Y8">
        <f t="shared" si="0"/>
        <v>0.19117078781127833</v>
      </c>
      <c r="Z8">
        <f t="shared" si="1"/>
        <v>3.5755653474759352</v>
      </c>
    </row>
    <row r="9" spans="1:26" x14ac:dyDescent="0.25">
      <c r="A9">
        <v>3</v>
      </c>
      <c r="B9">
        <v>3.1482423779465898</v>
      </c>
      <c r="C9">
        <v>2.6180043705665601</v>
      </c>
      <c r="D9">
        <v>1.49287106672675</v>
      </c>
      <c r="E9">
        <v>15.293663024902299</v>
      </c>
      <c r="F9">
        <v>4</v>
      </c>
      <c r="G9">
        <v>50</v>
      </c>
      <c r="H9">
        <v>49</v>
      </c>
      <c r="I9">
        <v>17</v>
      </c>
      <c r="J9">
        <v>84</v>
      </c>
      <c r="K9">
        <v>6750</v>
      </c>
      <c r="L9">
        <v>16.996487784684302</v>
      </c>
      <c r="M9">
        <v>4</v>
      </c>
      <c r="N9">
        <v>5.4743530066572603</v>
      </c>
      <c r="O9">
        <v>5.0372233626901304</v>
      </c>
      <c r="P9">
        <v>0.55499898803603998</v>
      </c>
      <c r="Q9">
        <v>15.293663024902299</v>
      </c>
      <c r="R9">
        <v>4</v>
      </c>
      <c r="S9">
        <v>113.748148148148</v>
      </c>
      <c r="T9">
        <v>107</v>
      </c>
      <c r="U9">
        <v>49</v>
      </c>
      <c r="V9">
        <v>194</v>
      </c>
      <c r="W9">
        <v>15356</v>
      </c>
      <c r="X9">
        <v>37.0156720577694</v>
      </c>
      <c r="Y9">
        <f t="shared" si="0"/>
        <v>0.25489438374837164</v>
      </c>
      <c r="Z9">
        <f t="shared" si="1"/>
        <v>3.4846829446650909</v>
      </c>
    </row>
    <row r="10" spans="1:26" x14ac:dyDescent="0.25">
      <c r="A10">
        <v>3</v>
      </c>
      <c r="B10">
        <v>3.1674558254474499</v>
      </c>
      <c r="C10">
        <v>2.5904934562393902</v>
      </c>
      <c r="D10">
        <v>1.3015744804599101</v>
      </c>
      <c r="E10">
        <v>19.117078781127901</v>
      </c>
      <c r="F10">
        <v>5</v>
      </c>
      <c r="G10">
        <v>44.037037037037003</v>
      </c>
      <c r="H10">
        <v>42</v>
      </c>
      <c r="I10">
        <v>18</v>
      </c>
      <c r="J10">
        <v>74</v>
      </c>
      <c r="K10">
        <v>5945</v>
      </c>
      <c r="L10">
        <v>14.2898604107359</v>
      </c>
      <c r="M10">
        <v>4</v>
      </c>
      <c r="N10">
        <v>5.3831264556019702</v>
      </c>
      <c r="O10">
        <v>4.9375315682496801</v>
      </c>
      <c r="P10">
        <v>0.53239737921849595</v>
      </c>
      <c r="Q10">
        <v>19.117078781127901</v>
      </c>
      <c r="R10">
        <v>5</v>
      </c>
      <c r="S10">
        <v>117.177777777777</v>
      </c>
      <c r="T10">
        <v>115</v>
      </c>
      <c r="U10">
        <v>49</v>
      </c>
      <c r="V10">
        <v>197</v>
      </c>
      <c r="W10">
        <v>15819</v>
      </c>
      <c r="X10">
        <v>36.574574535974598</v>
      </c>
      <c r="Y10">
        <f t="shared" si="0"/>
        <v>0.31861797968546501</v>
      </c>
      <c r="Z10">
        <f t="shared" si="1"/>
        <v>3.3180442513071311</v>
      </c>
    </row>
    <row r="11" spans="1:26" x14ac:dyDescent="0.25">
      <c r="A11">
        <v>3</v>
      </c>
      <c r="B11">
        <v>3.2633204989152</v>
      </c>
      <c r="C11">
        <v>2.58192304925534</v>
      </c>
      <c r="D11">
        <v>1.47625408307405</v>
      </c>
      <c r="E11">
        <v>22.940494537353501</v>
      </c>
      <c r="F11">
        <v>6</v>
      </c>
      <c r="G11">
        <v>30.074074074074002</v>
      </c>
      <c r="H11">
        <v>29</v>
      </c>
      <c r="I11">
        <v>9</v>
      </c>
      <c r="J11">
        <v>56</v>
      </c>
      <c r="K11">
        <v>4060</v>
      </c>
      <c r="L11">
        <v>12.338285053206199</v>
      </c>
      <c r="M11">
        <v>4</v>
      </c>
      <c r="N11">
        <v>5.3548699535518196</v>
      </c>
      <c r="O11">
        <v>4.9683973721173098</v>
      </c>
      <c r="P11">
        <v>0.517987366933505</v>
      </c>
      <c r="Q11">
        <v>22.940494537353501</v>
      </c>
      <c r="R11">
        <v>6</v>
      </c>
      <c r="S11">
        <v>75.392592592592493</v>
      </c>
      <c r="T11">
        <v>68</v>
      </c>
      <c r="U11">
        <v>25</v>
      </c>
      <c r="V11">
        <v>145</v>
      </c>
      <c r="W11">
        <v>10178</v>
      </c>
      <c r="X11">
        <v>30.940746524075799</v>
      </c>
      <c r="Y11">
        <f t="shared" si="0"/>
        <v>0.38234157562255838</v>
      </c>
      <c r="Z11">
        <f t="shared" si="1"/>
        <v>3.3148324111684775</v>
      </c>
    </row>
    <row r="12" spans="1:26" x14ac:dyDescent="0.25">
      <c r="A12">
        <v>3</v>
      </c>
      <c r="B12">
        <v>3.33358148423858</v>
      </c>
      <c r="C12">
        <v>2.5111455940757401</v>
      </c>
      <c r="D12">
        <v>1.4918807642426799</v>
      </c>
      <c r="E12">
        <v>26.763910293579102</v>
      </c>
      <c r="F12">
        <v>7</v>
      </c>
      <c r="G12">
        <v>29.933333333333302</v>
      </c>
      <c r="H12">
        <v>29</v>
      </c>
      <c r="I12">
        <v>9</v>
      </c>
      <c r="J12">
        <v>54</v>
      </c>
      <c r="K12">
        <v>4041</v>
      </c>
      <c r="L12">
        <v>11.565646506117901</v>
      </c>
      <c r="M12">
        <v>4</v>
      </c>
      <c r="N12">
        <v>5.45844361867056</v>
      </c>
      <c r="O12">
        <v>4.9560752871632197</v>
      </c>
      <c r="P12">
        <v>0.61883181937749199</v>
      </c>
      <c r="Q12">
        <v>26.763910293579102</v>
      </c>
      <c r="R12">
        <v>7</v>
      </c>
      <c r="S12">
        <v>68.681481481481399</v>
      </c>
      <c r="T12">
        <v>66</v>
      </c>
      <c r="U12">
        <v>19</v>
      </c>
      <c r="V12">
        <v>127</v>
      </c>
      <c r="W12">
        <v>9272</v>
      </c>
      <c r="X12">
        <v>28.228717211392599</v>
      </c>
      <c r="Y12">
        <f t="shared" si="0"/>
        <v>0.4460651715596517</v>
      </c>
      <c r="Z12">
        <f t="shared" si="1"/>
        <v>3.354837515381913</v>
      </c>
    </row>
    <row r="13" spans="1:26" x14ac:dyDescent="0.25">
      <c r="A13">
        <v>3</v>
      </c>
      <c r="B13">
        <v>3.1675949788097801</v>
      </c>
      <c r="C13">
        <v>2.55882843058777</v>
      </c>
      <c r="D13">
        <v>1.59493360561011</v>
      </c>
      <c r="E13">
        <v>30.587326049804599</v>
      </c>
      <c r="F13">
        <v>8</v>
      </c>
      <c r="G13">
        <v>21.488888888888798</v>
      </c>
      <c r="H13">
        <v>20</v>
      </c>
      <c r="I13">
        <v>7</v>
      </c>
      <c r="J13">
        <v>38</v>
      </c>
      <c r="K13">
        <v>2901</v>
      </c>
      <c r="L13">
        <v>8.0898560644969795</v>
      </c>
      <c r="M13">
        <v>4</v>
      </c>
      <c r="N13">
        <v>5.4762686505181701</v>
      </c>
      <c r="O13">
        <v>5.1131313489467303</v>
      </c>
      <c r="P13">
        <v>0.56471928913055103</v>
      </c>
      <c r="Q13">
        <v>30.587326049804599</v>
      </c>
      <c r="R13">
        <v>8</v>
      </c>
      <c r="S13">
        <v>63.940740740740701</v>
      </c>
      <c r="T13">
        <v>60</v>
      </c>
      <c r="U13">
        <v>20</v>
      </c>
      <c r="V13">
        <v>124</v>
      </c>
      <c r="W13">
        <v>8632</v>
      </c>
      <c r="X13">
        <v>26.877767254397</v>
      </c>
      <c r="Y13">
        <f t="shared" si="0"/>
        <v>0.50978876749674329</v>
      </c>
      <c r="Z13">
        <f t="shared" si="1"/>
        <v>3.593852954567847</v>
      </c>
    </row>
    <row r="14" spans="1:26" x14ac:dyDescent="0.25">
      <c r="A14">
        <v>3</v>
      </c>
      <c r="B14">
        <v>3.1198806047452501</v>
      </c>
      <c r="C14">
        <v>2.5393897748758598</v>
      </c>
      <c r="D14">
        <v>1.5225663771464499</v>
      </c>
      <c r="E14">
        <v>34.410741806030202</v>
      </c>
      <c r="F14">
        <v>9</v>
      </c>
      <c r="G14">
        <v>28.288888888888799</v>
      </c>
      <c r="H14">
        <v>27</v>
      </c>
      <c r="I14">
        <v>12</v>
      </c>
      <c r="J14">
        <v>47</v>
      </c>
      <c r="K14">
        <v>3819</v>
      </c>
      <c r="L14">
        <v>8.9115610528127895</v>
      </c>
      <c r="M14">
        <v>4</v>
      </c>
      <c r="N14">
        <v>5.5208642057620896</v>
      </c>
      <c r="O14">
        <v>5.2086494621474202</v>
      </c>
      <c r="P14">
        <v>0.57148955678638602</v>
      </c>
      <c r="Q14">
        <v>34.410741806030202</v>
      </c>
      <c r="R14">
        <v>9</v>
      </c>
      <c r="S14">
        <v>74.385185185185094</v>
      </c>
      <c r="T14">
        <v>73</v>
      </c>
      <c r="U14">
        <v>27</v>
      </c>
      <c r="V14">
        <v>123</v>
      </c>
      <c r="W14">
        <v>10042</v>
      </c>
      <c r="X14">
        <v>24.552406692740899</v>
      </c>
      <c r="Y14">
        <f t="shared" si="0"/>
        <v>0.57351236343383671</v>
      </c>
      <c r="Z14">
        <f t="shared" si="1"/>
        <v>3.7140566297070738</v>
      </c>
    </row>
    <row r="15" spans="1:26" x14ac:dyDescent="0.25">
      <c r="A15">
        <v>3</v>
      </c>
      <c r="B15">
        <v>3.0508981857269899</v>
      </c>
      <c r="C15">
        <v>2.4632938727940998</v>
      </c>
      <c r="D15">
        <v>1.49384148779291</v>
      </c>
      <c r="E15">
        <v>38.234157562255803</v>
      </c>
      <c r="F15">
        <v>10</v>
      </c>
      <c r="G15">
        <v>28.770370370370301</v>
      </c>
      <c r="H15">
        <v>28</v>
      </c>
      <c r="I15">
        <v>11</v>
      </c>
      <c r="J15">
        <v>47</v>
      </c>
      <c r="K15">
        <v>3884</v>
      </c>
      <c r="L15">
        <v>9.3688438420345594</v>
      </c>
      <c r="M15">
        <v>4</v>
      </c>
      <c r="N15">
        <v>5.3368744338067398</v>
      </c>
      <c r="O15">
        <v>5.2207710773274396</v>
      </c>
      <c r="P15">
        <v>0.54630134764272997</v>
      </c>
      <c r="Q15">
        <v>38.234157562255803</v>
      </c>
      <c r="R15">
        <v>10</v>
      </c>
      <c r="S15">
        <v>71.422222222222203</v>
      </c>
      <c r="T15">
        <v>71</v>
      </c>
      <c r="U15">
        <v>28</v>
      </c>
      <c r="V15">
        <v>117</v>
      </c>
      <c r="W15">
        <v>9642</v>
      </c>
      <c r="X15">
        <v>22.964432806611001</v>
      </c>
      <c r="Y15">
        <f t="shared" si="0"/>
        <v>0.63723595937093003</v>
      </c>
      <c r="Z15">
        <f t="shared" si="1"/>
        <v>3.7050236514092045</v>
      </c>
    </row>
    <row r="16" spans="1:26" x14ac:dyDescent="0.25">
      <c r="A16">
        <v>3</v>
      </c>
      <c r="B16">
        <v>3.0780382654236398</v>
      </c>
      <c r="C16">
        <v>2.4653932502351301</v>
      </c>
      <c r="D16">
        <v>1.4597831311974201</v>
      </c>
      <c r="E16">
        <v>42.057573318481403</v>
      </c>
      <c r="F16">
        <v>11</v>
      </c>
      <c r="G16">
        <v>31.674074074073999</v>
      </c>
      <c r="H16">
        <v>31</v>
      </c>
      <c r="I16">
        <v>13</v>
      </c>
      <c r="J16">
        <v>52</v>
      </c>
      <c r="K16">
        <v>4276</v>
      </c>
      <c r="L16">
        <v>9.7328721579106894</v>
      </c>
      <c r="M16">
        <v>4</v>
      </c>
      <c r="N16">
        <v>5.1880597315687904</v>
      </c>
      <c r="O16">
        <v>5.1280669950634499</v>
      </c>
      <c r="P16">
        <v>0.49745447042559598</v>
      </c>
      <c r="Q16">
        <v>42.057573318481403</v>
      </c>
      <c r="R16">
        <v>11</v>
      </c>
      <c r="S16">
        <v>72.518518518518505</v>
      </c>
      <c r="T16">
        <v>70</v>
      </c>
      <c r="U16">
        <v>29</v>
      </c>
      <c r="V16">
        <v>121</v>
      </c>
      <c r="W16">
        <v>9790</v>
      </c>
      <c r="X16">
        <v>23.098378780045199</v>
      </c>
      <c r="Y16">
        <f t="shared" si="0"/>
        <v>0.70095955530802334</v>
      </c>
      <c r="Z16">
        <f t="shared" si="1"/>
        <v>3.5310194718146617</v>
      </c>
    </row>
    <row r="17" spans="1:26" x14ac:dyDescent="0.25">
      <c r="A17">
        <v>3</v>
      </c>
      <c r="B17">
        <v>3.0771465798700501</v>
      </c>
      <c r="C17">
        <v>2.4781361963852402</v>
      </c>
      <c r="D17">
        <v>1.5508858343751399</v>
      </c>
      <c r="E17">
        <v>45.880989074707003</v>
      </c>
      <c r="F17">
        <v>12</v>
      </c>
      <c r="G17">
        <v>25.155555555555502</v>
      </c>
      <c r="H17">
        <v>24</v>
      </c>
      <c r="I17">
        <v>8</v>
      </c>
      <c r="J17">
        <v>48</v>
      </c>
      <c r="K17">
        <v>3396</v>
      </c>
      <c r="L17">
        <v>10.43234541442</v>
      </c>
      <c r="M17">
        <v>4</v>
      </c>
      <c r="N17">
        <v>5.3041751150283103</v>
      </c>
      <c r="O17">
        <v>5.1501263986847601</v>
      </c>
      <c r="P17">
        <v>0.53770226324715298</v>
      </c>
      <c r="Q17">
        <v>45.880989074707003</v>
      </c>
      <c r="R17">
        <v>12</v>
      </c>
      <c r="S17">
        <v>48.792592592592499</v>
      </c>
      <c r="T17">
        <v>47</v>
      </c>
      <c r="U17">
        <v>13</v>
      </c>
      <c r="V17">
        <v>90</v>
      </c>
      <c r="W17">
        <v>6587</v>
      </c>
      <c r="X17">
        <v>20.301127200635001</v>
      </c>
      <c r="Y17">
        <f t="shared" si="0"/>
        <v>0.76468315124511677</v>
      </c>
      <c r="Z17">
        <f t="shared" si="1"/>
        <v>3.6229447534288228</v>
      </c>
    </row>
    <row r="18" spans="1:26" x14ac:dyDescent="0.25">
      <c r="A18">
        <v>3</v>
      </c>
      <c r="B18">
        <v>2.9644875839005098</v>
      </c>
      <c r="C18">
        <v>2.47486700213146</v>
      </c>
      <c r="D18">
        <v>1.62546270219565</v>
      </c>
      <c r="E18">
        <v>49.704404830932603</v>
      </c>
      <c r="F18">
        <v>13</v>
      </c>
      <c r="G18">
        <v>21.311111111111099</v>
      </c>
      <c r="H18">
        <v>20</v>
      </c>
      <c r="I18">
        <v>7</v>
      </c>
      <c r="J18">
        <v>41</v>
      </c>
      <c r="K18">
        <v>2877</v>
      </c>
      <c r="L18">
        <v>8.9713196974819596</v>
      </c>
      <c r="M18">
        <v>4</v>
      </c>
      <c r="N18">
        <v>5.2340847691188301</v>
      </c>
      <c r="O18">
        <v>5.0758759416363999</v>
      </c>
      <c r="P18">
        <v>0.583553818976844</v>
      </c>
      <c r="Q18">
        <v>49.704404830932603</v>
      </c>
      <c r="R18">
        <v>13</v>
      </c>
      <c r="S18">
        <v>53.162962962962901</v>
      </c>
      <c r="T18">
        <v>49</v>
      </c>
      <c r="U18">
        <v>17</v>
      </c>
      <c r="V18">
        <v>104</v>
      </c>
      <c r="W18">
        <v>7177</v>
      </c>
      <c r="X18">
        <v>22.376095789863001</v>
      </c>
      <c r="Y18">
        <f t="shared" si="0"/>
        <v>0.82840674718221008</v>
      </c>
      <c r="Z18">
        <f t="shared" si="1"/>
        <v>3.6058137788113509</v>
      </c>
    </row>
    <row r="19" spans="1:26" x14ac:dyDescent="0.25">
      <c r="A19">
        <v>3</v>
      </c>
      <c r="B19">
        <v>3.0883093106738899</v>
      </c>
      <c r="C19">
        <v>2.4532833211996299</v>
      </c>
      <c r="D19">
        <v>1.5415668953124799</v>
      </c>
      <c r="E19">
        <v>53.527820587158203</v>
      </c>
      <c r="F19">
        <v>14</v>
      </c>
      <c r="G19">
        <v>13.7703703703703</v>
      </c>
      <c r="H19">
        <v>13</v>
      </c>
      <c r="I19">
        <v>4</v>
      </c>
      <c r="J19">
        <v>26</v>
      </c>
      <c r="K19">
        <v>1859</v>
      </c>
      <c r="L19">
        <v>5.7093020991025698</v>
      </c>
      <c r="M19">
        <v>4</v>
      </c>
      <c r="N19">
        <v>5.1509387617901501</v>
      </c>
      <c r="O19">
        <v>5.0690026016248604</v>
      </c>
      <c r="P19">
        <v>0.54257818647383205</v>
      </c>
      <c r="Q19">
        <v>53.527820587158203</v>
      </c>
      <c r="R19">
        <v>14</v>
      </c>
      <c r="S19">
        <v>60.674074074073999</v>
      </c>
      <c r="T19">
        <v>58</v>
      </c>
      <c r="U19">
        <v>15</v>
      </c>
      <c r="V19">
        <v>117</v>
      </c>
      <c r="W19">
        <v>8191</v>
      </c>
      <c r="X19">
        <v>26.387137761572401</v>
      </c>
      <c r="Y19">
        <f t="shared" si="0"/>
        <v>0.89213034311930339</v>
      </c>
      <c r="Z19">
        <f t="shared" si="1"/>
        <v>3.4777012590197507</v>
      </c>
    </row>
    <row r="20" spans="1:26" x14ac:dyDescent="0.25">
      <c r="A20">
        <v>3</v>
      </c>
      <c r="B20">
        <v>2.9171852383122201</v>
      </c>
      <c r="C20">
        <v>2.5557234851811299</v>
      </c>
      <c r="D20">
        <v>1.4797921185388301</v>
      </c>
      <c r="E20">
        <v>57.351236343383697</v>
      </c>
      <c r="F20">
        <v>15</v>
      </c>
      <c r="G20">
        <v>26.177777777777699</v>
      </c>
      <c r="H20">
        <v>26</v>
      </c>
      <c r="I20">
        <v>10</v>
      </c>
      <c r="J20">
        <v>43</v>
      </c>
      <c r="K20">
        <v>3534</v>
      </c>
      <c r="L20">
        <v>8.5438872856708894</v>
      </c>
      <c r="M20">
        <v>4</v>
      </c>
      <c r="N20">
        <v>5.12643306265117</v>
      </c>
      <c r="O20">
        <v>5.0856206382848796</v>
      </c>
      <c r="P20">
        <v>0.52139773061559602</v>
      </c>
      <c r="Q20">
        <v>57.351236343383697</v>
      </c>
      <c r="R20">
        <v>15</v>
      </c>
      <c r="S20">
        <v>76.814814814814795</v>
      </c>
      <c r="T20">
        <v>77</v>
      </c>
      <c r="U20">
        <v>30</v>
      </c>
      <c r="V20">
        <v>125</v>
      </c>
      <c r="W20">
        <v>10370</v>
      </c>
      <c r="X20">
        <v>24.129682342047801</v>
      </c>
      <c r="Y20">
        <f t="shared" si="0"/>
        <v>0.95585393905639493</v>
      </c>
      <c r="Z20">
        <f t="shared" si="1"/>
        <v>3.492803366556954</v>
      </c>
    </row>
    <row r="21" spans="1:26" x14ac:dyDescent="0.25">
      <c r="A21">
        <v>3</v>
      </c>
      <c r="B21">
        <v>3.0770485102098402</v>
      </c>
      <c r="C21">
        <v>2.4260147316861098</v>
      </c>
      <c r="D21">
        <v>1.4305611531108799</v>
      </c>
      <c r="E21">
        <v>61.174652099609297</v>
      </c>
      <c r="F21">
        <v>16</v>
      </c>
      <c r="G21">
        <v>27.511111111111099</v>
      </c>
      <c r="H21">
        <v>27</v>
      </c>
      <c r="I21">
        <v>12</v>
      </c>
      <c r="J21">
        <v>42</v>
      </c>
      <c r="K21">
        <v>3714</v>
      </c>
      <c r="L21">
        <v>7.8890313676900696</v>
      </c>
      <c r="M21">
        <v>4</v>
      </c>
      <c r="N21">
        <v>5.0958376502212301</v>
      </c>
      <c r="O21">
        <v>5.0949000780166598</v>
      </c>
      <c r="P21">
        <v>0.52377070810942705</v>
      </c>
      <c r="Q21">
        <v>61.174652099609297</v>
      </c>
      <c r="R21">
        <v>16</v>
      </c>
      <c r="S21">
        <v>75.837037037037007</v>
      </c>
      <c r="T21">
        <v>74</v>
      </c>
      <c r="U21">
        <v>31</v>
      </c>
      <c r="V21">
        <v>124</v>
      </c>
      <c r="W21">
        <v>10238</v>
      </c>
      <c r="X21">
        <v>22.738686676067001</v>
      </c>
      <c r="Y21">
        <f t="shared" si="0"/>
        <v>1.0195775349934884</v>
      </c>
      <c r="Z21">
        <f t="shared" si="1"/>
        <v>3.4670920805239365</v>
      </c>
    </row>
    <row r="22" spans="1:26" x14ac:dyDescent="0.25">
      <c r="A22">
        <v>3</v>
      </c>
      <c r="B22">
        <v>3.0625058547696802</v>
      </c>
      <c r="C22">
        <v>2.4515880344515302</v>
      </c>
      <c r="D22">
        <v>1.34161742441344</v>
      </c>
      <c r="E22">
        <v>64.998067855834904</v>
      </c>
      <c r="F22">
        <v>17</v>
      </c>
      <c r="G22">
        <v>31.881481481481401</v>
      </c>
      <c r="H22">
        <v>32</v>
      </c>
      <c r="I22">
        <v>13</v>
      </c>
      <c r="J22">
        <v>51</v>
      </c>
      <c r="K22">
        <v>4304</v>
      </c>
      <c r="L22">
        <v>9.6668782501005097</v>
      </c>
      <c r="M22">
        <v>4</v>
      </c>
      <c r="N22">
        <v>5.0461329669156596</v>
      </c>
      <c r="O22">
        <v>5.13866823783402</v>
      </c>
      <c r="P22">
        <v>0.49554667533452901</v>
      </c>
      <c r="Q22">
        <v>64.998067855834904</v>
      </c>
      <c r="R22">
        <v>17</v>
      </c>
      <c r="S22">
        <v>84.903703703703698</v>
      </c>
      <c r="T22">
        <v>83</v>
      </c>
      <c r="U22">
        <v>34</v>
      </c>
      <c r="V22">
        <v>139</v>
      </c>
      <c r="W22">
        <v>11462</v>
      </c>
      <c r="X22">
        <v>25.8791318206803</v>
      </c>
      <c r="Y22">
        <f t="shared" si="0"/>
        <v>1.0833011309305818</v>
      </c>
      <c r="Z22">
        <f t="shared" si="1"/>
        <v>3.4454335361312123</v>
      </c>
    </row>
    <row r="23" spans="1:26" x14ac:dyDescent="0.25">
      <c r="A23">
        <v>3</v>
      </c>
      <c r="B23">
        <v>3.1320970256412202</v>
      </c>
      <c r="C23">
        <v>2.5090276164596501</v>
      </c>
      <c r="D23">
        <v>1.51361206270423</v>
      </c>
      <c r="E23">
        <v>68.821483612060504</v>
      </c>
      <c r="F23">
        <v>18</v>
      </c>
      <c r="G23">
        <v>22.037037037036999</v>
      </c>
      <c r="H23">
        <v>20</v>
      </c>
      <c r="I23">
        <v>8</v>
      </c>
      <c r="J23">
        <v>42</v>
      </c>
      <c r="K23">
        <v>2975</v>
      </c>
      <c r="L23">
        <v>8.8557321072475101</v>
      </c>
      <c r="M23">
        <v>4</v>
      </c>
      <c r="N23">
        <v>5.0633159787166804</v>
      </c>
      <c r="O23">
        <v>5.1157250921901101</v>
      </c>
      <c r="P23">
        <v>0.48419485364869502</v>
      </c>
      <c r="Q23">
        <v>68.821483612060504</v>
      </c>
      <c r="R23">
        <v>18</v>
      </c>
      <c r="S23">
        <v>62.940740740740701</v>
      </c>
      <c r="T23">
        <v>60</v>
      </c>
      <c r="U23">
        <v>18</v>
      </c>
      <c r="V23">
        <v>123</v>
      </c>
      <c r="W23">
        <v>8497</v>
      </c>
      <c r="X23">
        <v>27.062052233505799</v>
      </c>
      <c r="Y23">
        <f t="shared" si="0"/>
        <v>1.147024726867675</v>
      </c>
      <c r="Z23">
        <f t="shared" si="1"/>
        <v>3.4035537552677373</v>
      </c>
    </row>
    <row r="24" spans="1:26" x14ac:dyDescent="0.25">
      <c r="A24">
        <v>3</v>
      </c>
      <c r="B24">
        <v>3.1104714325112499</v>
      </c>
      <c r="C24">
        <v>2.4343420526608601</v>
      </c>
      <c r="D24">
        <v>1.3224071601424401</v>
      </c>
      <c r="E24">
        <v>72.644899368286104</v>
      </c>
      <c r="F24">
        <v>19</v>
      </c>
      <c r="G24">
        <v>13.829629629629601</v>
      </c>
      <c r="H24">
        <v>13</v>
      </c>
      <c r="I24">
        <v>4</v>
      </c>
      <c r="J24">
        <v>24</v>
      </c>
      <c r="K24">
        <v>1867</v>
      </c>
      <c r="L24">
        <v>4.9241117704083104</v>
      </c>
      <c r="M24">
        <v>4</v>
      </c>
      <c r="N24">
        <v>4.9858929127299696</v>
      </c>
      <c r="O24">
        <v>5.10859442124337</v>
      </c>
      <c r="P24">
        <v>0.49184222375319198</v>
      </c>
      <c r="Q24">
        <v>72.644899368286104</v>
      </c>
      <c r="R24">
        <v>19</v>
      </c>
      <c r="S24">
        <v>60.881481481481401</v>
      </c>
      <c r="T24">
        <v>58</v>
      </c>
      <c r="U24">
        <v>17</v>
      </c>
      <c r="V24">
        <v>117</v>
      </c>
      <c r="W24">
        <v>8219</v>
      </c>
      <c r="X24">
        <v>25.555924000516502</v>
      </c>
      <c r="Y24">
        <f t="shared" si="0"/>
        <v>1.2107483228047684</v>
      </c>
      <c r="Z24">
        <f t="shared" si="1"/>
        <v>3.3702625376807389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231107_triple_13_Cell 4_SPB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2023-12-01T01:56:18Z</dcterms:created>
  <dcterms:modified xsi:type="dcterms:W3CDTF">2023-12-01T01:56:20Z</dcterms:modified>
</cp:coreProperties>
</file>