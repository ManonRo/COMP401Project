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lyra\STACKS\1minute_3second updated\Triple Anaphase A\"/>
    </mc:Choice>
  </mc:AlternateContent>
  <xr:revisionPtr revIDLastSave="0" documentId="13_ncr:1_{95FD0471-A717-45BD-A6ED-89CE36F1971A}" xr6:coauthVersionLast="45" xr6:coauthVersionMax="45" xr10:uidLastSave="{00000000-0000-0000-0000-000000000000}"/>
  <bookViews>
    <workbookView xWindow="630" yWindow="225" windowWidth="27285" windowHeight="14550" xr2:uid="{00000000-000D-0000-FFFF-FFFF00000000}"/>
  </bookViews>
  <sheets>
    <sheet name="231107_triple_15_Cell 2_Kar9_1_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X6" i="1" l="1"/>
  <c r="X7" i="1"/>
  <c r="X8" i="1"/>
  <c r="X9" i="1"/>
  <c r="X10" i="1"/>
  <c r="X5" i="1"/>
  <c r="W11" i="1" l="1"/>
  <c r="Q11" i="1"/>
  <c r="W7" i="1" l="1"/>
  <c r="W8" i="1"/>
  <c r="W9" i="1"/>
  <c r="W10" i="1"/>
  <c r="W6" i="1"/>
  <c r="V6" i="1" l="1"/>
  <c r="V7" i="1"/>
  <c r="V8" i="1"/>
  <c r="V9" i="1"/>
  <c r="V10" i="1"/>
  <c r="V5" i="1"/>
  <c r="U5" i="1" l="1"/>
  <c r="T5" i="1"/>
  <c r="S5" i="1" l="1"/>
  <c r="R6" i="1" l="1"/>
  <c r="R7" i="1"/>
  <c r="R8" i="1"/>
  <c r="R9" i="1"/>
  <c r="R10" i="1"/>
  <c r="Q5" i="1"/>
  <c r="Q6" i="1"/>
  <c r="Q7" i="1"/>
  <c r="Q8" i="1"/>
  <c r="Q9" i="1"/>
  <c r="Q10" i="1"/>
</calcChain>
</file>

<file path=xl/sharedStrings.xml><?xml version="1.0" encoding="utf-8"?>
<sst xmlns="http://schemas.openxmlformats.org/spreadsheetml/2006/main" count="31" uniqueCount="23">
  <si>
    <t>POSITION_X</t>
  </si>
  <si>
    <t>POSITION_Y</t>
  </si>
  <si>
    <t>POSITION_Z</t>
  </si>
  <si>
    <t>POSITION_T</t>
  </si>
  <si>
    <t>FRAME</t>
  </si>
  <si>
    <t>MAX_INTENSITY_CH2</t>
  </si>
  <si>
    <t>TOTAL_INTENSITY_CH2</t>
  </si>
  <si>
    <t>X</t>
  </si>
  <si>
    <t>Y</t>
  </si>
  <si>
    <t>Z</t>
  </si>
  <si>
    <t>T</t>
  </si>
  <si>
    <t>Frame</t>
  </si>
  <si>
    <t>Max intensity ch2</t>
  </si>
  <si>
    <t>Sum intensity ch2</t>
  </si>
  <si>
    <t>Max ch2</t>
  </si>
  <si>
    <t>Sum ch2</t>
  </si>
  <si>
    <t>(micron)</t>
  </si>
  <si>
    <t>(sec)</t>
  </si>
  <si>
    <t>(counts)</t>
  </si>
  <si>
    <t xml:space="preserve">mt length change overall </t>
  </si>
  <si>
    <t>SPB movement overall</t>
  </si>
  <si>
    <t>Instantaneous mt depolym speed</t>
  </si>
  <si>
    <t>normalized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</si>
</sst>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9.750584455631571E-2"/>
                  <c:y val="6.302423365212966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'231107_triple_15_Cell 2_Kar9_1_'!$D$5:$D$10</c:f>
              <c:numCache>
                <c:formatCode>General</c:formatCode>
                <c:ptCount val="6"/>
                <c:pt idx="0">
                  <c:v>11.4652276039123</c:v>
                </c:pt>
                <c:pt idx="1">
                  <c:v>15.286970138549799</c:v>
                </c:pt>
                <c:pt idx="2">
                  <c:v>19.108712673187199</c:v>
                </c:pt>
                <c:pt idx="3">
                  <c:v>22.9304552078247</c:v>
                </c:pt>
                <c:pt idx="4">
                  <c:v>26.752197742462101</c:v>
                </c:pt>
                <c:pt idx="5">
                  <c:v>30.573940277099599</c:v>
                </c:pt>
              </c:numCache>
            </c:numRef>
          </c:xVal>
          <c:yVal>
            <c:numRef>
              <c:f>'231107_triple_15_Cell 2_Kar9_1_'!$Q$5:$Q$10</c:f>
              <c:numCache>
                <c:formatCode>General</c:formatCode>
                <c:ptCount val="6"/>
                <c:pt idx="0">
                  <c:v>2.211456010779238</c:v>
                </c:pt>
                <c:pt idx="1">
                  <c:v>1.9935030962595097</c:v>
                </c:pt>
                <c:pt idx="2">
                  <c:v>1.6967316721406154</c:v>
                </c:pt>
                <c:pt idx="3">
                  <c:v>1.4472912688986657</c:v>
                </c:pt>
                <c:pt idx="4">
                  <c:v>1.1841935775143193</c:v>
                </c:pt>
                <c:pt idx="5">
                  <c:v>0.91401648624669496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19E-43C2-A032-997200261C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7981224"/>
        <c:axId val="627981552"/>
      </c:scatterChart>
      <c:valAx>
        <c:axId val="627981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981552"/>
        <c:crosses val="autoZero"/>
        <c:crossBetween val="midCat"/>
      </c:valAx>
      <c:valAx>
        <c:axId val="627981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981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'231107_triple_15_Cell 2_Kar9_1_'!$D$5:$D$10</c:f>
              <c:numCache>
                <c:formatCode>General</c:formatCode>
                <c:ptCount val="6"/>
                <c:pt idx="0">
                  <c:v>11.4652276039123</c:v>
                </c:pt>
                <c:pt idx="1">
                  <c:v>15.286970138549799</c:v>
                </c:pt>
                <c:pt idx="2">
                  <c:v>19.108712673187199</c:v>
                </c:pt>
                <c:pt idx="3">
                  <c:v>22.9304552078247</c:v>
                </c:pt>
                <c:pt idx="4">
                  <c:v>26.752197742462101</c:v>
                </c:pt>
                <c:pt idx="5">
                  <c:v>30.573940277099599</c:v>
                </c:pt>
              </c:numCache>
            </c:numRef>
          </c:xVal>
          <c:yVal>
            <c:numRef>
              <c:f>'231107_triple_15_Cell 2_Kar9_1_'!$R$5:$R$10</c:f>
              <c:numCache>
                <c:formatCode>General</c:formatCode>
                <c:ptCount val="6"/>
                <c:pt idx="1">
                  <c:v>0.13070868342343464</c:v>
                </c:pt>
                <c:pt idx="2">
                  <c:v>8.1257704194374877E-2</c:v>
                </c:pt>
                <c:pt idx="3">
                  <c:v>4.2671661348331599E-2</c:v>
                </c:pt>
                <c:pt idx="4">
                  <c:v>7.2695301955389716E-2</c:v>
                </c:pt>
                <c:pt idx="5">
                  <c:v>0.17638012425897523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B89-4E77-ACED-97E1D098B7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6942640"/>
        <c:axId val="656942968"/>
      </c:scatterChart>
      <c:valAx>
        <c:axId val="656942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6942968"/>
        <c:crosses val="autoZero"/>
        <c:crossBetween val="midCat"/>
      </c:valAx>
      <c:valAx>
        <c:axId val="656942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69426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'231107_triple_15_Cell 2_Kar9_1_'!$D$5:$D$10</c:f>
              <c:numCache>
                <c:formatCode>General</c:formatCode>
                <c:ptCount val="6"/>
                <c:pt idx="0">
                  <c:v>11.4652276039123</c:v>
                </c:pt>
                <c:pt idx="1">
                  <c:v>15.286970138549799</c:v>
                </c:pt>
                <c:pt idx="2">
                  <c:v>19.108712673187199</c:v>
                </c:pt>
                <c:pt idx="3">
                  <c:v>22.9304552078247</c:v>
                </c:pt>
                <c:pt idx="4">
                  <c:v>26.752197742462101</c:v>
                </c:pt>
                <c:pt idx="5">
                  <c:v>30.573940277099599</c:v>
                </c:pt>
              </c:numCache>
            </c:numRef>
          </c:xVal>
          <c:yVal>
            <c:numRef>
              <c:f>'231107_triple_15_Cell 2_Kar9_1_'!$V$5:$V$10</c:f>
              <c:numCache>
                <c:formatCode>General</c:formatCode>
                <c:ptCount val="6"/>
                <c:pt idx="0">
                  <c:v>5.5852662063500151</c:v>
                </c:pt>
                <c:pt idx="1">
                  <c:v>5.444210119504584</c:v>
                </c:pt>
                <c:pt idx="2">
                  <c:v>5.3106318199356002</c:v>
                </c:pt>
                <c:pt idx="3">
                  <c:v>5.1383063150841402</c:v>
                </c:pt>
                <c:pt idx="4">
                  <c:v>4.9469907545007752</c:v>
                </c:pt>
                <c:pt idx="5">
                  <c:v>4.6993561971463071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D25-49AD-B14B-9C4E01BFB6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6469752"/>
        <c:axId val="626470080"/>
      </c:scatterChart>
      <c:valAx>
        <c:axId val="626469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6470080"/>
        <c:crosses val="autoZero"/>
        <c:crossBetween val="midCat"/>
      </c:valAx>
      <c:valAx>
        <c:axId val="626470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64697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209551</xdr:colOff>
      <xdr:row>15</xdr:row>
      <xdr:rowOff>66675</xdr:rowOff>
    </xdr:from>
    <xdr:to>
      <xdr:col>24</xdr:col>
      <xdr:colOff>285750</xdr:colOff>
      <xdr:row>27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1483709-D086-4B60-8050-EE814FDE90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85725</xdr:colOff>
      <xdr:row>2</xdr:row>
      <xdr:rowOff>185737</xdr:rowOff>
    </xdr:from>
    <xdr:to>
      <xdr:col>29</xdr:col>
      <xdr:colOff>9525</xdr:colOff>
      <xdr:row>10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A3E3C3E-7C88-4EC6-9154-AB3CFB2295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523875</xdr:colOff>
      <xdr:row>21</xdr:row>
      <xdr:rowOff>157162</xdr:rowOff>
    </xdr:from>
    <xdr:to>
      <xdr:col>18</xdr:col>
      <xdr:colOff>219075</xdr:colOff>
      <xdr:row>36</xdr:row>
      <xdr:rowOff>42862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626FF64-6672-41D4-8DE0-DA0435E5DE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1"/>
  <sheetViews>
    <sheetView tabSelected="1" topLeftCell="B1" workbookViewId="0">
      <selection activeCell="X5" sqref="X5:X10"/>
    </sheetView>
  </sheetViews>
  <sheetFormatPr defaultRowHeight="15" x14ac:dyDescent="0.25"/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24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24" x14ac:dyDescent="0.2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14</v>
      </c>
      <c r="G3" t="s">
        <v>15</v>
      </c>
    </row>
    <row r="4" spans="1:24" x14ac:dyDescent="0.25">
      <c r="A4" t="s">
        <v>16</v>
      </c>
      <c r="B4" t="s">
        <v>16</v>
      </c>
      <c r="C4" t="s">
        <v>16</v>
      </c>
      <c r="D4" t="s">
        <v>17</v>
      </c>
      <c r="F4" t="s">
        <v>18</v>
      </c>
      <c r="G4" t="s">
        <v>18</v>
      </c>
      <c r="T4" t="s">
        <v>19</v>
      </c>
      <c r="U4" t="s">
        <v>20</v>
      </c>
      <c r="W4" t="s">
        <v>21</v>
      </c>
      <c r="X4" t="s">
        <v>22</v>
      </c>
    </row>
    <row r="5" spans="1:24" x14ac:dyDescent="0.25">
      <c r="A5">
        <v>0.28006991190721398</v>
      </c>
      <c r="B5">
        <v>1.64651851222428</v>
      </c>
      <c r="C5">
        <v>2.27044097792011</v>
      </c>
      <c r="D5">
        <v>11.4652276039123</v>
      </c>
      <c r="E5">
        <v>3</v>
      </c>
      <c r="F5">
        <v>44</v>
      </c>
      <c r="G5">
        <v>2461</v>
      </c>
      <c r="H5">
        <v>2.2883917747677902</v>
      </c>
      <c r="I5">
        <v>2.0648829806798901</v>
      </c>
      <c r="J5">
        <v>3.0963660073881001</v>
      </c>
      <c r="K5">
        <v>11.4652276039123</v>
      </c>
      <c r="L5">
        <v>3</v>
      </c>
      <c r="M5">
        <v>5.5555533369931798</v>
      </c>
      <c r="N5">
        <v>3.4657282018748101</v>
      </c>
      <c r="O5">
        <v>2.0360282382484902</v>
      </c>
      <c r="Q5">
        <f t="shared" ref="Q5:Q11" si="0">SQRT((A5-H5)^2+(B5-I5)^2+(C5-J5)^2)</f>
        <v>2.211456010779238</v>
      </c>
      <c r="S5">
        <f>K10-K5</f>
        <v>19.108712673187298</v>
      </c>
      <c r="T5">
        <f>Q5-Q10</f>
        <v>1.297439524532543</v>
      </c>
      <c r="U5">
        <f>SQRT((H5-H10)^2+(I5-I10)^2+(J5-J10)^2)</f>
        <v>1.2647723565381925</v>
      </c>
      <c r="V5">
        <f>SQRT((A5-M5)^2+(B5-N5)^2+(C5-O5)^2)</f>
        <v>5.5852662063500151</v>
      </c>
      <c r="X5">
        <f>D5-D$5</f>
        <v>0</v>
      </c>
    </row>
    <row r="6" spans="1:24" x14ac:dyDescent="0.25">
      <c r="A6">
        <v>0.27111586246792702</v>
      </c>
      <c r="B6">
        <v>1.7764250770429999</v>
      </c>
      <c r="C6">
        <v>2.2817930410773601</v>
      </c>
      <c r="D6">
        <v>15.286970138549799</v>
      </c>
      <c r="E6">
        <v>4</v>
      </c>
      <c r="F6">
        <v>73</v>
      </c>
      <c r="G6">
        <v>4026</v>
      </c>
      <c r="H6">
        <v>2.0819873634907098</v>
      </c>
      <c r="I6">
        <v>2.1709690080601698</v>
      </c>
      <c r="J6">
        <v>3.0160505490929501</v>
      </c>
      <c r="K6">
        <v>15.286970138549799</v>
      </c>
      <c r="L6">
        <v>4</v>
      </c>
      <c r="M6">
        <v>5.46888680894412</v>
      </c>
      <c r="N6">
        <v>3.3868012894853901</v>
      </c>
      <c r="O6">
        <v>2.1106513813804901</v>
      </c>
      <c r="Q6">
        <f t="shared" si="0"/>
        <v>1.9935030962595097</v>
      </c>
      <c r="R6">
        <f t="shared" ref="R6:R10" si="1">SQRT((A5-A6)^2+(B5-B6)^2+(C5-C6)^2)</f>
        <v>0.13070868342343464</v>
      </c>
      <c r="V6">
        <f t="shared" ref="V6:V10" si="2">SQRT((A6-M6)^2+(B6-N6)^2+(C6-O6)^2)</f>
        <v>5.444210119504584</v>
      </c>
      <c r="W6">
        <f>(Q5-Q6)/(D6-D5)*60</f>
        <v>3.4217833233562129</v>
      </c>
      <c r="X6">
        <f t="shared" ref="X6:X10" si="3">D6-D$5</f>
        <v>3.8217425346374991</v>
      </c>
    </row>
    <row r="7" spans="1:24" x14ac:dyDescent="0.25">
      <c r="A7">
        <v>0.247753614583098</v>
      </c>
      <c r="B7">
        <v>1.6986088552129901</v>
      </c>
      <c r="C7">
        <v>2.2805063846309701</v>
      </c>
      <c r="D7">
        <v>19.108712673187199</v>
      </c>
      <c r="E7">
        <v>5</v>
      </c>
      <c r="F7">
        <v>29</v>
      </c>
      <c r="G7">
        <v>1571</v>
      </c>
      <c r="H7">
        <v>1.76694937104987</v>
      </c>
      <c r="I7">
        <v>2.1753196522389202</v>
      </c>
      <c r="J7">
        <v>2.8667567038439699</v>
      </c>
      <c r="K7">
        <v>19.108712673187199</v>
      </c>
      <c r="L7">
        <v>5</v>
      </c>
      <c r="M7">
        <v>5.3552858308794802</v>
      </c>
      <c r="N7">
        <v>3.1532306108776802</v>
      </c>
      <c r="O7">
        <v>2.2812373798749399</v>
      </c>
      <c r="Q7">
        <f t="shared" si="0"/>
        <v>1.6967316721406154</v>
      </c>
      <c r="R7">
        <f t="shared" si="1"/>
        <v>8.1257704194374877E-2</v>
      </c>
      <c r="V7">
        <f t="shared" si="2"/>
        <v>5.3106318199356002</v>
      </c>
      <c r="W7">
        <f t="shared" ref="W7:W10" si="4">(Q6-Q7)/(D7-D6)*60</f>
        <v>4.6592059213175361</v>
      </c>
      <c r="X7">
        <f t="shared" si="3"/>
        <v>7.6434850692748988</v>
      </c>
    </row>
    <row r="8" spans="1:24" x14ac:dyDescent="0.25">
      <c r="A8">
        <v>0.28474172667059999</v>
      </c>
      <c r="B8">
        <v>1.71487466056778</v>
      </c>
      <c r="C8">
        <v>2.2667887382370302</v>
      </c>
      <c r="D8">
        <v>22.9304552078247</v>
      </c>
      <c r="E8">
        <v>6</v>
      </c>
      <c r="F8">
        <v>34</v>
      </c>
      <c r="G8">
        <v>1851</v>
      </c>
      <c r="H8">
        <v>1.60658655564199</v>
      </c>
      <c r="I8">
        <v>2.1400897687060501</v>
      </c>
      <c r="J8">
        <v>2.67491908134186</v>
      </c>
      <c r="K8">
        <v>22.9304552078247</v>
      </c>
      <c r="L8">
        <v>6</v>
      </c>
      <c r="M8">
        <v>5.2466958606101697</v>
      </c>
      <c r="N8">
        <v>3.0468534694940699</v>
      </c>
      <c r="O8">
        <v>2.3506661063697698</v>
      </c>
      <c r="Q8">
        <f t="shared" si="0"/>
        <v>1.4472912688986657</v>
      </c>
      <c r="R8">
        <f t="shared" si="1"/>
        <v>4.2671661348331599E-2</v>
      </c>
      <c r="V8">
        <f t="shared" si="2"/>
        <v>5.1383063150841402</v>
      </c>
      <c r="W8">
        <f t="shared" si="4"/>
        <v>3.9161257093779014</v>
      </c>
      <c r="X8">
        <f t="shared" si="3"/>
        <v>11.4652276039124</v>
      </c>
    </row>
    <row r="9" spans="1:24" x14ac:dyDescent="0.25">
      <c r="A9">
        <v>0.246305186850026</v>
      </c>
      <c r="B9">
        <v>1.6533283000090599</v>
      </c>
      <c r="C9">
        <v>2.27118018845111</v>
      </c>
      <c r="D9">
        <v>26.752197742462101</v>
      </c>
      <c r="E9">
        <v>7</v>
      </c>
      <c r="F9">
        <v>14</v>
      </c>
      <c r="G9">
        <v>727</v>
      </c>
      <c r="H9">
        <v>1.31896240230742</v>
      </c>
      <c r="I9">
        <v>2.0968381866360102</v>
      </c>
      <c r="J9">
        <v>2.5057434157854499</v>
      </c>
      <c r="K9">
        <v>26.752197742462101</v>
      </c>
      <c r="L9">
        <v>7</v>
      </c>
      <c r="M9">
        <v>5.03052134702906</v>
      </c>
      <c r="N9">
        <v>2.8799789098195498</v>
      </c>
      <c r="O9">
        <v>2.5528209867199001</v>
      </c>
      <c r="Q9">
        <f t="shared" si="0"/>
        <v>1.1841935775143193</v>
      </c>
      <c r="R9">
        <f t="shared" si="1"/>
        <v>7.2695301955389716E-2</v>
      </c>
      <c r="V9">
        <f t="shared" si="2"/>
        <v>4.9469907545007752</v>
      </c>
      <c r="W9">
        <f t="shared" si="4"/>
        <v>4.1305402810340048</v>
      </c>
      <c r="X9">
        <f t="shared" si="3"/>
        <v>15.286970138549801</v>
      </c>
    </row>
    <row r="10" spans="1:24" x14ac:dyDescent="0.25">
      <c r="A10">
        <v>0.41548893715053498</v>
      </c>
      <c r="B10">
        <v>1.64748193295985</v>
      </c>
      <c r="C10">
        <v>2.2216561855818702</v>
      </c>
      <c r="D10">
        <v>30.573940277099599</v>
      </c>
      <c r="E10">
        <v>8</v>
      </c>
      <c r="F10">
        <v>17</v>
      </c>
      <c r="G10">
        <v>939</v>
      </c>
      <c r="H10">
        <v>1.2094433061302801</v>
      </c>
      <c r="I10">
        <v>2.0460041398534199</v>
      </c>
      <c r="J10">
        <v>2.4366972228780299</v>
      </c>
      <c r="K10">
        <v>30.573940277099599</v>
      </c>
      <c r="L10">
        <v>8</v>
      </c>
      <c r="M10">
        <v>4.9619116205620797</v>
      </c>
      <c r="N10">
        <v>2.7944868624702002</v>
      </c>
      <c r="O10">
        <v>2.5352947404460999</v>
      </c>
      <c r="Q10">
        <f t="shared" si="0"/>
        <v>0.91401648624669496</v>
      </c>
      <c r="R10">
        <f t="shared" si="1"/>
        <v>0.17638012425897523</v>
      </c>
      <c r="V10">
        <f t="shared" si="2"/>
        <v>4.6993561971463071</v>
      </c>
      <c r="W10">
        <f t="shared" si="4"/>
        <v>4.2416843440226888</v>
      </c>
      <c r="X10">
        <f t="shared" si="3"/>
        <v>19.108712673187298</v>
      </c>
    </row>
    <row r="11" spans="1:24" s="1" customFormat="1" x14ac:dyDescent="0.25">
      <c r="A11" s="1">
        <v>0.58745888453082196</v>
      </c>
      <c r="B11" s="1">
        <v>1.83350872102764</v>
      </c>
      <c r="C11" s="1">
        <v>2.1760344661003499</v>
      </c>
      <c r="D11" s="1">
        <v>34.395682811736997</v>
      </c>
      <c r="F11" s="1">
        <v>22</v>
      </c>
      <c r="G11" s="1">
        <v>1100</v>
      </c>
      <c r="H11" s="1">
        <v>1.1709360833936999</v>
      </c>
      <c r="I11" s="1">
        <v>2.0519067653168399</v>
      </c>
      <c r="J11" s="1">
        <v>2.5195502910848999</v>
      </c>
      <c r="K11" s="1">
        <v>34.395682811736997</v>
      </c>
      <c r="L11" s="1">
        <v>9</v>
      </c>
      <c r="Q11">
        <f t="shared" si="0"/>
        <v>0.71143971589800481</v>
      </c>
      <c r="W11">
        <f>(Q10-Q11)/(D11-D10)*60</f>
        <v>3.1803833227281029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231107_triple_15_Cell 2_Kar9_1_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Shannon</cp:lastModifiedBy>
  <dcterms:created xsi:type="dcterms:W3CDTF">2024-05-25T18:37:43Z</dcterms:created>
  <dcterms:modified xsi:type="dcterms:W3CDTF">2024-06-17T18:55:24Z</dcterms:modified>
</cp:coreProperties>
</file>