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Triple Anaphase A\"/>
    </mc:Choice>
  </mc:AlternateContent>
  <xr:revisionPtr revIDLastSave="0" documentId="13_ncr:1_{7DAC04CE-F47A-48E4-B1F9-2F2D47584714}" xr6:coauthVersionLast="45" xr6:coauthVersionMax="45" xr10:uidLastSave="{00000000-0000-0000-0000-000000000000}"/>
  <bookViews>
    <workbookView xWindow="690" yWindow="435" windowWidth="27285" windowHeight="14550" xr2:uid="{00000000-000D-0000-FFFF-FFFF00000000}"/>
  </bookViews>
  <sheets>
    <sheet name="231107_triple_12_Cell 6_Kar9_1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C6" i="1" l="1"/>
  <c r="AC7" i="1"/>
  <c r="AC8" i="1"/>
  <c r="AC9" i="1"/>
  <c r="AC5" i="1"/>
  <c r="R10" i="1" l="1"/>
  <c r="AB10" i="1" l="1"/>
  <c r="Q10" i="1"/>
  <c r="AB7" i="1" l="1"/>
  <c r="AB8" i="1"/>
  <c r="AB9" i="1"/>
  <c r="AB6" i="1"/>
  <c r="AA9" i="1" l="1"/>
  <c r="AA8" i="1"/>
  <c r="X9" i="1"/>
  <c r="Y9" i="1"/>
  <c r="Z9" i="1"/>
  <c r="Z8" i="1"/>
  <c r="Y8" i="1"/>
  <c r="X8" i="1"/>
  <c r="W8" i="1" l="1"/>
  <c r="W9" i="1"/>
  <c r="V6" i="1" l="1"/>
  <c r="V7" i="1"/>
  <c r="V8" i="1"/>
  <c r="V9" i="1"/>
  <c r="V5" i="1"/>
  <c r="U5" i="1" l="1"/>
  <c r="T5" i="1"/>
  <c r="S5" i="1" l="1"/>
  <c r="R6" i="1" l="1"/>
  <c r="R7" i="1"/>
  <c r="R8" i="1"/>
  <c r="R9" i="1"/>
  <c r="Q5" i="1"/>
  <c r="Q6" i="1"/>
  <c r="Q7" i="1"/>
  <c r="Q8" i="1"/>
  <c r="Q9" i="1"/>
</calcChain>
</file>

<file path=xl/sharedStrings.xml><?xml version="1.0" encoding="utf-8"?>
<sst xmlns="http://schemas.openxmlformats.org/spreadsheetml/2006/main" count="33" uniqueCount="25">
  <si>
    <t>POSITION_X</t>
  </si>
  <si>
    <t>POSITION_Y</t>
  </si>
  <si>
    <t>POSITION_Z</t>
  </si>
  <si>
    <t>POSITION_T</t>
  </si>
  <si>
    <t>FRAME</t>
  </si>
  <si>
    <t>MAX_INTENSITY_CH2</t>
  </si>
  <si>
    <t>TOTAL_INTENSITY_CH2</t>
  </si>
  <si>
    <t>X</t>
  </si>
  <si>
    <t>Y</t>
  </si>
  <si>
    <t>Z</t>
  </si>
  <si>
    <t>T</t>
  </si>
  <si>
    <t>Frame</t>
  </si>
  <si>
    <t>Max intensity ch2</t>
  </si>
  <si>
    <t>Sum intensity ch2</t>
  </si>
  <si>
    <t>Max ch2</t>
  </si>
  <si>
    <t>Sum ch2</t>
  </si>
  <si>
    <t>(micron)</t>
  </si>
  <si>
    <t>(sec)</t>
  </si>
  <si>
    <t>(counts)</t>
  </si>
  <si>
    <t>mt length change overall</t>
  </si>
  <si>
    <t>SPB length change overall</t>
  </si>
  <si>
    <t>Spindle midpoint</t>
  </si>
  <si>
    <t>Spindle midpoint distance to anchored Kar9</t>
  </si>
  <si>
    <t>Instnataneous mt depolym speed</t>
  </si>
  <si>
    <t>normalized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</si>
</sst>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7624521072796934"/>
                  <c:y val="0.1290040248353338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'231107_triple_12_Cell 6_Kar9_1_'!$D$5:$D$9</c:f>
              <c:numCache>
                <c:formatCode>General</c:formatCode>
                <c:ptCount val="5"/>
                <c:pt idx="0">
                  <c:v>22.930436611175502</c:v>
                </c:pt>
                <c:pt idx="1">
                  <c:v>26.7521760463714</c:v>
                </c:pt>
                <c:pt idx="2">
                  <c:v>30.573915481567301</c:v>
                </c:pt>
                <c:pt idx="3">
                  <c:v>34.395654916763299</c:v>
                </c:pt>
                <c:pt idx="4">
                  <c:v>38.2173943519592</c:v>
                </c:pt>
              </c:numCache>
            </c:numRef>
          </c:xVal>
          <c:yVal>
            <c:numRef>
              <c:f>'231107_triple_12_Cell 6_Kar9_1_'!$Q$5:$Q$9</c:f>
              <c:numCache>
                <c:formatCode>General</c:formatCode>
                <c:ptCount val="5"/>
                <c:pt idx="0">
                  <c:v>1.6211766440281308</c:v>
                </c:pt>
                <c:pt idx="1">
                  <c:v>1.4590178604192297</c:v>
                </c:pt>
                <c:pt idx="2">
                  <c:v>1.2960707605350998</c:v>
                </c:pt>
                <c:pt idx="3">
                  <c:v>1.0722240224701256</c:v>
                </c:pt>
                <c:pt idx="4">
                  <c:v>0.93064394250289006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A6-4538-905D-1E6328C95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0789232"/>
        <c:axId val="380789560"/>
      </c:scatterChart>
      <c:valAx>
        <c:axId val="380789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789560"/>
        <c:crosses val="autoZero"/>
        <c:crossBetween val="midCat"/>
      </c:valAx>
      <c:valAx>
        <c:axId val="380789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789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'231107_triple_12_Cell 6_Kar9_1_'!$D$5:$D$9</c:f>
              <c:numCache>
                <c:formatCode>General</c:formatCode>
                <c:ptCount val="5"/>
                <c:pt idx="0">
                  <c:v>22.930436611175502</c:v>
                </c:pt>
                <c:pt idx="1">
                  <c:v>26.7521760463714</c:v>
                </c:pt>
                <c:pt idx="2">
                  <c:v>30.573915481567301</c:v>
                </c:pt>
                <c:pt idx="3">
                  <c:v>34.395654916763299</c:v>
                </c:pt>
                <c:pt idx="4">
                  <c:v>38.2173943519592</c:v>
                </c:pt>
              </c:numCache>
            </c:numRef>
          </c:xVal>
          <c:yVal>
            <c:numRef>
              <c:f>'231107_triple_12_Cell 6_Kar9_1_'!$R$5:$R$9</c:f>
              <c:numCache>
                <c:formatCode>General</c:formatCode>
                <c:ptCount val="5"/>
                <c:pt idx="1">
                  <c:v>9.8183144299222078E-2</c:v>
                </c:pt>
                <c:pt idx="2">
                  <c:v>7.9875774459521959E-2</c:v>
                </c:pt>
                <c:pt idx="3">
                  <c:v>9.2367072273287262E-2</c:v>
                </c:pt>
                <c:pt idx="4">
                  <c:v>0.16573182155483568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60-4210-AC90-182E01E0BC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0915280"/>
        <c:axId val="620915608"/>
      </c:scatterChart>
      <c:valAx>
        <c:axId val="620915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915608"/>
        <c:crosses val="autoZero"/>
        <c:crossBetween val="midCat"/>
      </c:valAx>
      <c:valAx>
        <c:axId val="620915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915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'231107_triple_12_Cell 6_Kar9_1_'!$D$5:$D$9</c:f>
              <c:numCache>
                <c:formatCode>General</c:formatCode>
                <c:ptCount val="5"/>
                <c:pt idx="0">
                  <c:v>22.930436611175502</c:v>
                </c:pt>
                <c:pt idx="1">
                  <c:v>26.7521760463714</c:v>
                </c:pt>
                <c:pt idx="2">
                  <c:v>30.573915481567301</c:v>
                </c:pt>
                <c:pt idx="3">
                  <c:v>34.395654916763299</c:v>
                </c:pt>
                <c:pt idx="4">
                  <c:v>38.2173943519592</c:v>
                </c:pt>
              </c:numCache>
            </c:numRef>
          </c:xVal>
          <c:yVal>
            <c:numRef>
              <c:f>'231107_triple_12_Cell 6_Kar9_1_'!$W$5:$W$9</c:f>
              <c:numCache>
                <c:formatCode>General</c:formatCode>
                <c:ptCount val="5"/>
                <c:pt idx="3">
                  <c:v>5.0694679335662398</c:v>
                </c:pt>
                <c:pt idx="4">
                  <c:v>4.996308559862122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9C-4E4B-AE40-8A957DCE4A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5121472"/>
        <c:axId val="465121800"/>
      </c:scatterChart>
      <c:valAx>
        <c:axId val="465121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121800"/>
        <c:crosses val="autoZero"/>
        <c:crossBetween val="midCat"/>
      </c:valAx>
      <c:valAx>
        <c:axId val="465121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121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'231107_triple_12_Cell 6_Kar9_1_'!$D$8:$D$10</c:f>
              <c:numCache>
                <c:formatCode>General</c:formatCode>
                <c:ptCount val="3"/>
                <c:pt idx="0">
                  <c:v>34.395654916763299</c:v>
                </c:pt>
                <c:pt idx="1">
                  <c:v>38.2173943519592</c:v>
                </c:pt>
                <c:pt idx="2">
                  <c:v>42.039133787155102</c:v>
                </c:pt>
              </c:numCache>
            </c:numRef>
          </c:xVal>
          <c:yVal>
            <c:numRef>
              <c:f>'231107_triple_12_Cell 6_Kar9_1_'!$AA$8:$AA$10</c:f>
              <c:numCache>
                <c:formatCode>General</c:formatCode>
                <c:ptCount val="3"/>
                <c:pt idx="0">
                  <c:v>2.7812147701831997</c:v>
                </c:pt>
                <c:pt idx="1">
                  <c:v>2.7398545134299721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A0-461F-AF5F-5EB7B5D90F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5425648"/>
        <c:axId val="585426632"/>
      </c:scatterChart>
      <c:valAx>
        <c:axId val="585425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426632"/>
        <c:crosses val="autoZero"/>
        <c:crossBetween val="midCat"/>
      </c:valAx>
      <c:valAx>
        <c:axId val="585426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425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152400</xdr:colOff>
      <xdr:row>20</xdr:row>
      <xdr:rowOff>71436</xdr:rowOff>
    </xdr:from>
    <xdr:to>
      <xdr:col>24</xdr:col>
      <xdr:colOff>304799</xdr:colOff>
      <xdr:row>34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B5B9F4-CD23-41BD-986A-A9D03DFC47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523876</xdr:colOff>
      <xdr:row>21</xdr:row>
      <xdr:rowOff>171450</xdr:rowOff>
    </xdr:from>
    <xdr:to>
      <xdr:col>27</xdr:col>
      <xdr:colOff>400050</xdr:colOff>
      <xdr:row>25</xdr:row>
      <xdr:rowOff>23811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3B8308-7FBA-4C69-B0FE-1431EE1661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321468</xdr:colOff>
      <xdr:row>12</xdr:row>
      <xdr:rowOff>15478</xdr:rowOff>
    </xdr:from>
    <xdr:to>
      <xdr:col>17</xdr:col>
      <xdr:colOff>369092</xdr:colOff>
      <xdr:row>20</xdr:row>
      <xdr:rowOff>166687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12B1A1B-CC0F-466D-A1B9-4671E26088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196453</xdr:colOff>
      <xdr:row>12</xdr:row>
      <xdr:rowOff>15478</xdr:rowOff>
    </xdr:from>
    <xdr:to>
      <xdr:col>18</xdr:col>
      <xdr:colOff>517921</xdr:colOff>
      <xdr:row>26</xdr:row>
      <xdr:rowOff>91678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BAF5C7F-60AA-43D1-9293-50574F499D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"/>
  <sheetViews>
    <sheetView tabSelected="1" zoomScale="80" zoomScaleNormal="80" workbookViewId="0">
      <selection activeCell="AA19" sqref="AA19"/>
    </sheetView>
  </sheetViews>
  <sheetFormatPr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29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29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14</v>
      </c>
      <c r="G3" t="s">
        <v>15</v>
      </c>
    </row>
    <row r="4" spans="1:29" x14ac:dyDescent="0.25">
      <c r="A4" t="s">
        <v>16</v>
      </c>
      <c r="B4" t="s">
        <v>16</v>
      </c>
      <c r="C4" t="s">
        <v>16</v>
      </c>
      <c r="D4" t="s">
        <v>17</v>
      </c>
      <c r="F4" t="s">
        <v>18</v>
      </c>
      <c r="G4" t="s">
        <v>18</v>
      </c>
      <c r="T4" t="s">
        <v>19</v>
      </c>
      <c r="U4" t="s">
        <v>20</v>
      </c>
      <c r="X4" t="s">
        <v>21</v>
      </c>
      <c r="AA4" t="s">
        <v>22</v>
      </c>
      <c r="AB4" t="s">
        <v>23</v>
      </c>
      <c r="AC4" t="s">
        <v>24</v>
      </c>
    </row>
    <row r="5" spans="1:29" x14ac:dyDescent="0.25">
      <c r="A5">
        <v>0.84998896522018497</v>
      </c>
      <c r="B5">
        <v>5.7737961867201397</v>
      </c>
      <c r="C5">
        <v>1.7833114877696601</v>
      </c>
      <c r="D5">
        <v>22.930436611175502</v>
      </c>
      <c r="E5">
        <v>6</v>
      </c>
      <c r="F5">
        <v>57</v>
      </c>
      <c r="G5">
        <v>3105</v>
      </c>
      <c r="H5">
        <v>2.07235800331773</v>
      </c>
      <c r="I5">
        <v>5.2678346377999397</v>
      </c>
      <c r="J5">
        <v>0.84627864050278501</v>
      </c>
      <c r="K5">
        <v>22.930436611175502</v>
      </c>
      <c r="L5">
        <v>6</v>
      </c>
      <c r="Q5">
        <f t="shared" ref="Q5:Q10" si="0">SQRT((A5-H5)^2+(B5-I5)^2+(C5-J5)^2)</f>
        <v>1.6211766440281308</v>
      </c>
      <c r="S5">
        <f>K9-K5</f>
        <v>15.286957740783699</v>
      </c>
      <c r="T5">
        <f>Q5-Q9</f>
        <v>0.69053270152524071</v>
      </c>
      <c r="U5">
        <f>SQRT((H5-H9)^2+(I5-I9)^2+(J5-J9)^2)</f>
        <v>0.8621470570856965</v>
      </c>
      <c r="V5">
        <f>SQRT((A5-H5)^2+(B5-I5)^2+(C5-J5)^2)</f>
        <v>1.6211766440281308</v>
      </c>
      <c r="AC5">
        <f>D5-D$5</f>
        <v>0</v>
      </c>
    </row>
    <row r="6" spans="1:29" x14ac:dyDescent="0.25">
      <c r="A6">
        <v>0.82691156035751501</v>
      </c>
      <c r="B6">
        <v>5.8675649480106502</v>
      </c>
      <c r="C6">
        <v>1.76556937359661</v>
      </c>
      <c r="D6">
        <v>26.7521760463714</v>
      </c>
      <c r="E6">
        <v>7</v>
      </c>
      <c r="F6">
        <v>20</v>
      </c>
      <c r="G6">
        <v>1145</v>
      </c>
      <c r="H6">
        <v>1.8378274088340001</v>
      </c>
      <c r="I6">
        <v>5.4750469811580498</v>
      </c>
      <c r="J6">
        <v>0.78949975004546402</v>
      </c>
      <c r="K6">
        <v>26.7521760463714</v>
      </c>
      <c r="L6">
        <v>7</v>
      </c>
      <c r="Q6">
        <f t="shared" si="0"/>
        <v>1.4590178604192297</v>
      </c>
      <c r="R6">
        <f t="shared" ref="R6:R10" si="1">SQRT((A5-A6)^2+(B5-B6)^2+(C5-C6)^2)</f>
        <v>9.8183144299222078E-2</v>
      </c>
      <c r="V6">
        <f t="shared" ref="V6:V9" si="2">SQRT((A6-H6)^2+(B6-I6)^2+(C6-J6)^2)</f>
        <v>1.4590178604192297</v>
      </c>
      <c r="AB6">
        <f>(Q5-Q6)/(D6-D5)*60</f>
        <v>2.5458373553495135</v>
      </c>
      <c r="AC6">
        <f t="shared" ref="AC6:AC9" si="3">D6-D$5</f>
        <v>3.821739435195898</v>
      </c>
    </row>
    <row r="7" spans="1:29" x14ac:dyDescent="0.25">
      <c r="A7">
        <v>0.86162199394932704</v>
      </c>
      <c r="B7">
        <v>5.83149921579012</v>
      </c>
      <c r="C7">
        <v>1.82781556307656</v>
      </c>
      <c r="D7">
        <v>30.573915481567301</v>
      </c>
      <c r="E7">
        <v>8</v>
      </c>
      <c r="F7">
        <v>51</v>
      </c>
      <c r="G7">
        <v>2986</v>
      </c>
      <c r="H7">
        <v>1.71601598194063</v>
      </c>
      <c r="I7">
        <v>5.5785065159656098</v>
      </c>
      <c r="J7">
        <v>0.88664340909310602</v>
      </c>
      <c r="K7">
        <v>30.573915481567301</v>
      </c>
      <c r="L7">
        <v>8</v>
      </c>
      <c r="Q7">
        <f t="shared" si="0"/>
        <v>1.2960707605350998</v>
      </c>
      <c r="R7">
        <f t="shared" si="1"/>
        <v>7.9875774459521959E-2</v>
      </c>
      <c r="V7">
        <f t="shared" si="2"/>
        <v>1.2960707605350998</v>
      </c>
      <c r="AB7">
        <f t="shared" ref="AB7:AB9" si="4">(Q6-Q7)/(D7-D6)*60</f>
        <v>2.5582136508337414</v>
      </c>
      <c r="AC7">
        <f t="shared" si="3"/>
        <v>7.6434788703917995</v>
      </c>
    </row>
    <row r="8" spans="1:29" x14ac:dyDescent="0.25">
      <c r="A8">
        <v>0.87495982762665203</v>
      </c>
      <c r="B8">
        <v>5.7408331665143999</v>
      </c>
      <c r="C8">
        <v>1.81626369128592</v>
      </c>
      <c r="D8">
        <v>34.395654916763299</v>
      </c>
      <c r="E8">
        <v>9</v>
      </c>
      <c r="F8">
        <v>30</v>
      </c>
      <c r="G8">
        <v>1651</v>
      </c>
      <c r="H8">
        <v>1.4897182810746099</v>
      </c>
      <c r="I8">
        <v>5.6119646330156403</v>
      </c>
      <c r="J8">
        <v>0.94728193120682003</v>
      </c>
      <c r="K8">
        <v>34.395654916763299</v>
      </c>
      <c r="L8">
        <v>9</v>
      </c>
      <c r="M8">
        <v>5.4853586682541797</v>
      </c>
      <c r="N8">
        <v>3.98579326223373</v>
      </c>
      <c r="O8">
        <v>2.9839805209065302</v>
      </c>
      <c r="Q8">
        <f t="shared" si="0"/>
        <v>1.0722240224701256</v>
      </c>
      <c r="R8">
        <f t="shared" si="1"/>
        <v>9.2367072273287262E-2</v>
      </c>
      <c r="V8">
        <f t="shared" si="2"/>
        <v>1.0722240224701256</v>
      </c>
      <c r="W8">
        <f t="shared" ref="W8:W9" si="5">SQRT((A8-M8)^2+(B8-N8)^2+(C8-O8)^2)</f>
        <v>5.0694679335662398</v>
      </c>
      <c r="X8">
        <f t="shared" ref="X8:Z9" si="6">AVERAGE(H8,M8)</f>
        <v>3.4875384746643947</v>
      </c>
      <c r="Y8">
        <f t="shared" si="6"/>
        <v>4.7988789476246847</v>
      </c>
      <c r="Z8">
        <f t="shared" si="6"/>
        <v>1.9656312260566751</v>
      </c>
      <c r="AA8">
        <f>SQRT((A8-X8)^2+(B8-Y8)^2+(C8-Z8)^2)</f>
        <v>2.7812147701831997</v>
      </c>
      <c r="AB8">
        <f t="shared" si="4"/>
        <v>3.5143171091698608</v>
      </c>
      <c r="AC8">
        <f t="shared" si="3"/>
        <v>11.465218305587797</v>
      </c>
    </row>
    <row r="9" spans="1:29" x14ac:dyDescent="0.25">
      <c r="A9">
        <v>0.86623124808076402</v>
      </c>
      <c r="B9">
        <v>5.8752023921619001</v>
      </c>
      <c r="C9">
        <v>1.9128854268006901</v>
      </c>
      <c r="D9">
        <v>38.2173943519592</v>
      </c>
      <c r="E9">
        <v>10</v>
      </c>
      <c r="F9">
        <v>29</v>
      </c>
      <c r="G9">
        <v>1713</v>
      </c>
      <c r="H9">
        <v>1.3245076311872299</v>
      </c>
      <c r="I9">
        <v>5.5460620011659696</v>
      </c>
      <c r="J9">
        <v>1.17278576633649</v>
      </c>
      <c r="K9">
        <v>38.2173943519592</v>
      </c>
      <c r="L9">
        <v>10</v>
      </c>
      <c r="M9">
        <v>5.4549473584577601</v>
      </c>
      <c r="N9">
        <v>4.0711466425294596</v>
      </c>
      <c r="O9">
        <v>2.7204537124188501</v>
      </c>
      <c r="Q9">
        <f t="shared" si="0"/>
        <v>0.93064394250289006</v>
      </c>
      <c r="R9">
        <f t="shared" si="1"/>
        <v>0.16573182155483568</v>
      </c>
      <c r="V9">
        <f t="shared" si="2"/>
        <v>0.93064394250289006</v>
      </c>
      <c r="W9">
        <f t="shared" si="5"/>
        <v>4.996308559862122</v>
      </c>
      <c r="X9">
        <f t="shared" si="6"/>
        <v>3.3897274948224951</v>
      </c>
      <c r="Y9">
        <f t="shared" si="6"/>
        <v>4.8086043218477146</v>
      </c>
      <c r="Z9">
        <f t="shared" si="6"/>
        <v>1.9466197393776701</v>
      </c>
      <c r="AA9">
        <f>SQRT((A9-X9)^2+(B9-Y9)^2+(C9-Z9)^2)</f>
        <v>2.7398545134299721</v>
      </c>
      <c r="AB9">
        <f t="shared" si="4"/>
        <v>2.2227587573873127</v>
      </c>
      <c r="AC9">
        <f t="shared" si="3"/>
        <v>15.286957740783699</v>
      </c>
    </row>
    <row r="10" spans="1:29" s="1" customFormat="1" x14ac:dyDescent="0.25">
      <c r="A10" s="1">
        <v>0.77862023234318101</v>
      </c>
      <c r="B10" s="1">
        <v>5.4422670179242196</v>
      </c>
      <c r="C10" s="1">
        <v>1.6722493013564801</v>
      </c>
      <c r="D10" s="1">
        <v>42.039133787155102</v>
      </c>
      <c r="F10" s="1">
        <v>31</v>
      </c>
      <c r="G10" s="1">
        <v>1733</v>
      </c>
      <c r="H10" s="1">
        <v>1.5040440751723301</v>
      </c>
      <c r="I10" s="1">
        <v>5.4950512882495701</v>
      </c>
      <c r="J10" s="1">
        <v>1.1023838963203301</v>
      </c>
      <c r="K10" s="1">
        <v>42.039133787155102</v>
      </c>
      <c r="L10" s="1">
        <v>11</v>
      </c>
      <c r="Q10" s="1">
        <f t="shared" si="0"/>
        <v>0.9239981119005628</v>
      </c>
      <c r="R10">
        <f t="shared" si="1"/>
        <v>0.5030054405408485</v>
      </c>
      <c r="AB10" s="1">
        <f>(Q9-Q10)/(D10-D9)*60</f>
        <v>0.10433726393468684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231107_triple_12_Cell 6_Kar9_1_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2024-05-25T16:02:36Z</dcterms:created>
  <dcterms:modified xsi:type="dcterms:W3CDTF">2024-06-17T18:53:18Z</dcterms:modified>
</cp:coreProperties>
</file>