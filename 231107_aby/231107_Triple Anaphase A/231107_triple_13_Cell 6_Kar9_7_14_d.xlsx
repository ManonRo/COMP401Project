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481ECC96-71B7-4C08-BD63-227DC1B7C595}" xr6:coauthVersionLast="45" xr6:coauthVersionMax="45" xr10:uidLastSave="{00000000-0000-0000-0000-000000000000}"/>
  <bookViews>
    <workbookView xWindow="660" yWindow="510" windowWidth="27285" windowHeight="14550" xr2:uid="{00000000-000D-0000-FFFF-FFFF00000000}"/>
  </bookViews>
  <sheets>
    <sheet name="231107_triple_13_Cell 6_Kar9_7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6" i="1" l="1"/>
  <c r="X7" i="1"/>
  <c r="X8" i="1"/>
  <c r="X5" i="1"/>
  <c r="W8" i="1" l="1"/>
  <c r="W7" i="1"/>
  <c r="W6" i="1"/>
  <c r="V6" i="1" l="1"/>
  <c r="V7" i="1"/>
  <c r="V8" i="1"/>
  <c r="V5" i="1"/>
  <c r="U5" i="1" l="1"/>
  <c r="T5" i="1"/>
  <c r="S5" i="1" l="1"/>
  <c r="Q5" i="1" l="1"/>
  <c r="R7" i="1" l="1"/>
  <c r="R8" i="1"/>
  <c r="R6" i="1"/>
  <c r="Q6" i="1"/>
  <c r="Q7" i="1"/>
  <c r="Q8" i="1"/>
</calcChain>
</file>

<file path=xl/sharedStrings.xml><?xml version="1.0" encoding="utf-8"?>
<sst xmlns="http://schemas.openxmlformats.org/spreadsheetml/2006/main" count="31" uniqueCount="23">
  <si>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</si>
  <si>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</si>
  <si>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</si>
  <si>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</si>
  <si>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</si>
  <si>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</si>
  <si>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</si>
  <si>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</si>
  <si>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</si>
  <si>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</si>
  <si>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</si>
  <si>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</si>
  <si>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</si>
  <si>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</si>
  <si>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</si>
  <si>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</si>
  <si>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</si>
  <si>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</si>
  <si>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</si>
  <si>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</si>
  <si>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length change overall</t>
  </si>
  <si>
    <t>Instantaneous mt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</si>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</sst>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670682730923695"/>
                  <c:y val="-0.16299842519685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6_Kar9_7_'!$D$5:$D$8</c:f>
              <c:numCache>
                <c:formatCode>General</c:formatCode>
                <c:ptCount val="4"/>
                <c:pt idx="0">
                  <c:v>7.6468315124511701</c:v>
                </c:pt>
                <c:pt idx="1">
                  <c:v>11.470247268676699</c:v>
                </c:pt>
                <c:pt idx="2">
                  <c:v>15.293663024902299</c:v>
                </c:pt>
                <c:pt idx="3">
                  <c:v>19.117078781127901</c:v>
                </c:pt>
              </c:numCache>
            </c:numRef>
          </c:xVal>
          <c:yVal>
            <c:numRef>
              <c:f>'231107_triple_13_Cell 6_Kar9_7_'!$Q$5:$Q$8</c:f>
              <c:numCache>
                <c:formatCode>General</c:formatCode>
                <c:ptCount val="4"/>
                <c:pt idx="0">
                  <c:v>1.9056836006982056</c:v>
                </c:pt>
                <c:pt idx="1">
                  <c:v>1.7272920736573678</c:v>
                </c:pt>
                <c:pt idx="2">
                  <c:v>1.5402321386510873</c:v>
                </c:pt>
                <c:pt idx="3">
                  <c:v>1.1727951760531841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4C-40F8-994C-BFCD96F4E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363816"/>
        <c:axId val="656364144"/>
      </c:scatterChart>
      <c:valAx>
        <c:axId val="65636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64144"/>
        <c:crosses val="autoZero"/>
        <c:crossBetween val="midCat"/>
      </c:valAx>
      <c:valAx>
        <c:axId val="6563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363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6_Kar9_7_'!$D$5:$D$8</c:f>
              <c:numCache>
                <c:formatCode>General</c:formatCode>
                <c:ptCount val="4"/>
                <c:pt idx="0">
                  <c:v>7.6468315124511701</c:v>
                </c:pt>
                <c:pt idx="1">
                  <c:v>11.470247268676699</c:v>
                </c:pt>
                <c:pt idx="2">
                  <c:v>15.293663024902299</c:v>
                </c:pt>
                <c:pt idx="3">
                  <c:v>19.117078781127901</c:v>
                </c:pt>
              </c:numCache>
            </c:numRef>
          </c:xVal>
          <c:yVal>
            <c:numRef>
              <c:f>'231107_triple_13_Cell 6_Kar9_7_'!$R$5:$R$8</c:f>
              <c:numCache>
                <c:formatCode>General</c:formatCode>
                <c:ptCount val="4"/>
                <c:pt idx="1">
                  <c:v>2.6741604082351437E-2</c:v>
                </c:pt>
                <c:pt idx="2">
                  <c:v>8.3662923427705899E-2</c:v>
                </c:pt>
                <c:pt idx="3">
                  <c:v>0.12085192778603228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7-45BF-9812-97EAD8D1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617760"/>
        <c:axId val="521618088"/>
      </c:scatterChart>
      <c:valAx>
        <c:axId val="52161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18088"/>
        <c:crosses val="autoZero"/>
        <c:crossBetween val="midCat"/>
      </c:valAx>
      <c:valAx>
        <c:axId val="521618088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61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'231107_triple_13_Cell 6_Kar9_7_'!$D$5:$D$8</c:f>
              <c:numCache>
                <c:formatCode>General</c:formatCode>
                <c:ptCount val="4"/>
                <c:pt idx="0">
                  <c:v>7.6468315124511701</c:v>
                </c:pt>
                <c:pt idx="1">
                  <c:v>11.470247268676699</c:v>
                </c:pt>
                <c:pt idx="2">
                  <c:v>15.293663024902299</c:v>
                </c:pt>
                <c:pt idx="3">
                  <c:v>19.117078781127901</c:v>
                </c:pt>
              </c:numCache>
            </c:numRef>
          </c:xVal>
          <c:yVal>
            <c:numRef>
              <c:f>'231107_triple_13_Cell 6_Kar9_7_'!$V$5:$V$8</c:f>
              <c:numCache>
                <c:formatCode>General</c:formatCode>
                <c:ptCount val="4"/>
                <c:pt idx="0">
                  <c:v>5.7154700703398307</c:v>
                </c:pt>
                <c:pt idx="1">
                  <c:v>5.6855922791451592</c:v>
                </c:pt>
                <c:pt idx="2">
                  <c:v>5.5778771943458079</c:v>
                </c:pt>
                <c:pt idx="3">
                  <c:v>5.6606108313654122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C-4E7F-8C02-EE68444DC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867288"/>
        <c:axId val="622867616"/>
      </c:scatterChart>
      <c:valAx>
        <c:axId val="622867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67616"/>
        <c:crosses val="autoZero"/>
        <c:crossBetween val="midCat"/>
      </c:valAx>
      <c:valAx>
        <c:axId val="6228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67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495300</xdr:colOff>
      <xdr:row>13</xdr:row>
      <xdr:rowOff>152400</xdr:rowOff>
    </xdr:from>
    <xdr:to>
      <xdr:col>23</xdr:col>
      <xdr:colOff>171450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74B67-7675-46AD-9677-376059736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476250</xdr:colOff>
      <xdr:row>24</xdr:row>
      <xdr:rowOff>14287</xdr:rowOff>
    </xdr:from>
    <xdr:to>
      <xdr:col>22</xdr:col>
      <xdr:colOff>390525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3ED812-B478-45A9-9347-3655D9B56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12</xdr:row>
      <xdr:rowOff>100012</xdr:rowOff>
    </xdr:from>
    <xdr:to>
      <xdr:col>15</xdr:col>
      <xdr:colOff>438150</xdr:colOff>
      <xdr:row>26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4DF17D-E1EF-42D7-846E-1B6C8519A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workbookViewId="0">
      <selection activeCell="V12" sqref="V1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4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4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4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T4" t="s">
        <v>19</v>
      </c>
      <c r="U4" t="s">
        <v>20</v>
      </c>
      <c r="W4" t="s">
        <v>21</v>
      </c>
      <c r="X4" t="s">
        <v>22</v>
      </c>
    </row>
    <row r="5" spans="1:24" x14ac:dyDescent="0.25">
      <c r="A5">
        <v>5.5880586102431904</v>
      </c>
      <c r="B5">
        <v>7.6472293774207296</v>
      </c>
      <c r="C5">
        <v>1.2671811330521701</v>
      </c>
      <c r="D5">
        <v>7.6468315124511701</v>
      </c>
      <c r="E5">
        <v>2</v>
      </c>
      <c r="F5">
        <v>36</v>
      </c>
      <c r="G5">
        <v>1973</v>
      </c>
      <c r="H5">
        <v>6.0890447743152096</v>
      </c>
      <c r="I5">
        <v>6.0505410170437797</v>
      </c>
      <c r="J5">
        <v>2.1788988137051502</v>
      </c>
      <c r="K5">
        <v>30.587326049804599</v>
      </c>
      <c r="L5">
        <v>8</v>
      </c>
      <c r="M5">
        <v>1.7656836701188801</v>
      </c>
      <c r="N5">
        <v>3.4024744188047702</v>
      </c>
      <c r="O5">
        <v>1.46238175642537</v>
      </c>
      <c r="Q5">
        <f>SQRT((A5-H5)^2+(B5-I5)^2+(C5-J5)^2)</f>
        <v>1.9056836006982056</v>
      </c>
      <c r="S5">
        <f>K8-K5</f>
        <v>11.470247268676804</v>
      </c>
      <c r="T5">
        <f>Q5-Q8</f>
        <v>0.73288842464502157</v>
      </c>
      <c r="U5">
        <f>SQRT((H5-H8)^2+(I5-I8)^2+(J5-J8)^2)</f>
        <v>0.70752865910763163</v>
      </c>
      <c r="V5">
        <f>SQRT((A5-M5)^2+(B5-N5)^2+(C5-O5)^2)</f>
        <v>5.7154700703398307</v>
      </c>
      <c r="X5">
        <f>D5-D$5</f>
        <v>0</v>
      </c>
    </row>
    <row r="6" spans="1:24" x14ac:dyDescent="0.25">
      <c r="A6">
        <v>5.5643195847843199</v>
      </c>
      <c r="B6">
        <v>7.6525102464937902</v>
      </c>
      <c r="C6">
        <v>1.2560597805717599</v>
      </c>
      <c r="D6">
        <v>11.470247268676699</v>
      </c>
      <c r="E6">
        <v>3</v>
      </c>
      <c r="F6">
        <v>53</v>
      </c>
      <c r="G6">
        <v>2963</v>
      </c>
      <c r="H6">
        <v>6.0215702318645601</v>
      </c>
      <c r="I6">
        <v>6.3183638840344898</v>
      </c>
      <c r="J6">
        <v>2.2533126256421001</v>
      </c>
      <c r="K6">
        <v>34.410741806030202</v>
      </c>
      <c r="L6">
        <v>9</v>
      </c>
      <c r="M6">
        <v>1.8586868102877001</v>
      </c>
      <c r="N6">
        <v>3.34502403951157</v>
      </c>
      <c r="O6">
        <v>1.45557890724751</v>
      </c>
      <c r="Q6">
        <f>SQRT((A6-H6)^2+(B6-I6)^2+(C6-J6)^2)</f>
        <v>1.7272920736573678</v>
      </c>
      <c r="R6">
        <f>SQRT((A5-A6)^2+(B5-B6)^2+(C5-C6)^2)</f>
        <v>2.6741604082351437E-2</v>
      </c>
      <c r="V6">
        <f t="shared" ref="V6:V8" si="0">SQRT((A6-M6)^2+(B6-N6)^2+(C6-O6)^2)</f>
        <v>5.6855922791451592</v>
      </c>
      <c r="W6">
        <f>(Q5-Q6)/(D6-D5)*60</f>
        <v>2.7994579467383747</v>
      </c>
      <c r="X6">
        <f t="shared" ref="X6:X8" si="1">D6-D$5</f>
        <v>3.8234157562255291</v>
      </c>
    </row>
    <row r="7" spans="1:24" x14ac:dyDescent="0.25">
      <c r="A7">
        <v>5.4848952345233899</v>
      </c>
      <c r="B7">
        <v>7.6333766813029804</v>
      </c>
      <c r="C7">
        <v>1.23802747552808</v>
      </c>
      <c r="D7">
        <v>15.293663024902299</v>
      </c>
      <c r="E7">
        <v>4</v>
      </c>
      <c r="F7">
        <v>53</v>
      </c>
      <c r="G7">
        <v>2820</v>
      </c>
      <c r="H7">
        <v>6.0068161154507997</v>
      </c>
      <c r="I7">
        <v>6.4633432985486401</v>
      </c>
      <c r="J7">
        <v>2.0929751454039001</v>
      </c>
      <c r="K7">
        <v>38.234157562255803</v>
      </c>
      <c r="L7">
        <v>10</v>
      </c>
      <c r="M7">
        <v>1.9908505686154601</v>
      </c>
      <c r="N7">
        <v>3.30257744213753</v>
      </c>
      <c r="O7">
        <v>1.62344130232644</v>
      </c>
      <c r="Q7">
        <f>SQRT((A7-H7)^2+(B7-I7)^2+(C7-J7)^2)</f>
        <v>1.5402321386510873</v>
      </c>
      <c r="R7">
        <f t="shared" ref="R7:R8" si="2">SQRT((A6-A7)^2+(B6-B7)^2+(C6-C7)^2)</f>
        <v>8.3662923427705899E-2</v>
      </c>
      <c r="V7">
        <f t="shared" si="0"/>
        <v>5.5778771943458079</v>
      </c>
      <c r="W7">
        <f t="shared" ref="W7" si="3">(Q6-Q7)/(D7-D6)*60</f>
        <v>2.9354893153070387</v>
      </c>
      <c r="X7">
        <f t="shared" si="1"/>
        <v>7.6468315124511292</v>
      </c>
    </row>
    <row r="8" spans="1:24" x14ac:dyDescent="0.25">
      <c r="A8">
        <v>5.5751111402758697</v>
      </c>
      <c r="B8">
        <v>7.5599188750124302</v>
      </c>
      <c r="C8">
        <v>1.2707418377233</v>
      </c>
      <c r="D8">
        <v>19.117078781127901</v>
      </c>
      <c r="E8">
        <v>5</v>
      </c>
      <c r="F8">
        <v>20</v>
      </c>
      <c r="G8">
        <v>1177</v>
      </c>
      <c r="H8">
        <v>5.8170516686770899</v>
      </c>
      <c r="I8">
        <v>6.68115401606586</v>
      </c>
      <c r="J8">
        <v>2.0087700406879101</v>
      </c>
      <c r="K8">
        <v>42.057573318481403</v>
      </c>
      <c r="L8">
        <v>11</v>
      </c>
      <c r="M8">
        <v>2.0761243800634999</v>
      </c>
      <c r="N8">
        <v>3.1723498052481598</v>
      </c>
      <c r="O8">
        <v>2.0115820999106799</v>
      </c>
      <c r="Q8">
        <f>SQRT((A8-H8)^2+(B8-I8)^2+(C8-J8)^2)</f>
        <v>1.1727951760531841</v>
      </c>
      <c r="R8">
        <f t="shared" si="2"/>
        <v>0.12085192778603228</v>
      </c>
      <c r="V8">
        <f t="shared" si="0"/>
        <v>5.6606108313654122</v>
      </c>
      <c r="W8">
        <f>(Q7-Q8)/(D8-D7)*60</f>
        <v>5.7661052737926077</v>
      </c>
      <c r="X8">
        <f t="shared" si="1"/>
        <v>11.470247268676731</v>
      </c>
    </row>
    <row r="9" spans="1:24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6_Kar9_7_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2024-05-25T18:24:33Z</dcterms:created>
  <dcterms:modified xsi:type="dcterms:W3CDTF">2024-06-17T18:54:26Z</dcterms:modified>
</cp:coreProperties>
</file>