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AEFE3720-5655-42B7-913A-920B7EDD0E22}" xr6:coauthVersionLast="45" xr6:coauthVersionMax="45" xr10:uidLastSave="{00000000-0000-0000-0000-000000000000}"/>
  <bookViews>
    <workbookView xWindow="2625" yWindow="180" windowWidth="23790" windowHeight="13980" xr2:uid="{00000000-000D-0000-FFFF-FFFF00000000}"/>
  </bookViews>
  <sheets>
    <sheet name="231107_triple_13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4" i="1" l="1"/>
  <c r="AI15" i="1"/>
  <c r="AI16" i="1"/>
  <c r="AI17" i="1"/>
  <c r="AI18" i="1"/>
  <c r="AI13" i="1"/>
  <c r="AG22" i="1" l="1"/>
  <c r="AH22" i="1" s="1"/>
  <c r="AG23" i="1"/>
  <c r="Z15" i="1"/>
  <c r="Z14" i="1"/>
  <c r="AH13" i="1"/>
  <c r="AH18" i="1"/>
  <c r="AH17" i="1"/>
  <c r="AH16" i="1"/>
  <c r="AH15" i="1"/>
  <c r="AH14" i="1"/>
  <c r="Z24" i="1" l="1"/>
  <c r="Z6" i="1" l="1"/>
  <c r="Z7" i="1"/>
  <c r="Z8" i="1"/>
  <c r="Z9" i="1"/>
  <c r="Z10" i="1"/>
  <c r="Z11" i="1"/>
  <c r="Z12" i="1"/>
  <c r="Z13" i="1"/>
  <c r="Z16" i="1"/>
  <c r="Z17" i="1"/>
  <c r="Z18" i="1"/>
  <c r="Z19" i="1"/>
  <c r="Z20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<sst xmlns="http://schemas.openxmlformats.org/spreadsheetml/2006/main" count="46" uniqueCount="33">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</sst>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  <c:pt idx="11">
                  <c:v>0.70095955530802334</c:v>
                </c:pt>
                <c:pt idx="12">
                  <c:v>0.76468315124511677</c:v>
                </c:pt>
                <c:pt idx="13">
                  <c:v>0.82840674718221008</c:v>
                </c:pt>
                <c:pt idx="14">
                  <c:v>0.89213034311930339</c:v>
                </c:pt>
                <c:pt idx="15">
                  <c:v>0.95585393905639493</c:v>
                </c:pt>
                <c:pt idx="17">
                  <c:v>1.0195775349934884</c:v>
                </c:pt>
                <c:pt idx="18">
                  <c:v>1.147024726867675</c:v>
                </c:pt>
              </c:numCache>
            </c:numRef>
          </c:xVal>
          <c:yVal>
            <c:numRef>
              <c:f>'231107_triple_13_Cell 5_SPB'!$Z$5:$Z$23</c:f>
              <c:numCache>
                <c:formatCode>General</c:formatCode>
                <c:ptCount val="19"/>
                <c:pt idx="0">
                  <c:v>2.594406242731508</c:v>
                </c:pt>
                <c:pt idx="1">
                  <c:v>2.6562259030601831</c:v>
                </c:pt>
                <c:pt idx="2">
                  <c:v>2.7570978228369758</c:v>
                </c:pt>
                <c:pt idx="3">
                  <c:v>2.7451481848736168</c:v>
                </c:pt>
                <c:pt idx="4">
                  <c:v>2.8064237137218724</c:v>
                </c:pt>
                <c:pt idx="5">
                  <c:v>2.9430939764959869</c:v>
                </c:pt>
                <c:pt idx="6">
                  <c:v>3.0256733160518756</c:v>
                </c:pt>
                <c:pt idx="7">
                  <c:v>3.1082465349032695</c:v>
                </c:pt>
                <c:pt idx="8">
                  <c:v>3.1187974178294939</c:v>
                </c:pt>
                <c:pt idx="9">
                  <c:v>3.1657613544579215</c:v>
                </c:pt>
                <c:pt idx="10">
                  <c:v>3.2040383247698867</c:v>
                </c:pt>
                <c:pt idx="11">
                  <c:v>3.2467532874921519</c:v>
                </c:pt>
                <c:pt idx="12">
                  <c:v>3.3362790824202442</c:v>
                </c:pt>
                <c:pt idx="13">
                  <c:v>3.380618649966797</c:v>
                </c:pt>
                <c:pt idx="14">
                  <c:v>3.4659697723002543</c:v>
                </c:pt>
                <c:pt idx="15">
                  <c:v>3.4567234648159086</c:v>
                </c:pt>
                <c:pt idx="17">
                  <c:v>3.4905751835913112</c:v>
                </c:pt>
                <c:pt idx="18">
                  <c:v>3.6304290287588192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C-4C21-BC6B-566BA3FC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699512"/>
        <c:axId val="579699840"/>
      </c:scatterChart>
      <c:valAx>
        <c:axId val="57969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99840"/>
        <c:crosses val="autoZero"/>
        <c:crossBetween val="midCat"/>
      </c:valAx>
      <c:valAx>
        <c:axId val="5796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9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395578925260285"/>
                  <c:y val="0.16520986681088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5_SPB'!$AD$13:$AD$18</c:f>
              <c:numCache>
                <c:formatCode>General</c:formatCode>
                <c:ptCount val="6"/>
                <c:pt idx="0">
                  <c:v>30.587326049804599</c:v>
                </c:pt>
                <c:pt idx="1">
                  <c:v>34.410741806030202</c:v>
                </c:pt>
                <c:pt idx="2">
                  <c:v>38.234157562255803</c:v>
                </c:pt>
                <c:pt idx="3">
                  <c:v>42.057573318481403</c:v>
                </c:pt>
                <c:pt idx="4">
                  <c:v>45.880989074707003</c:v>
                </c:pt>
                <c:pt idx="5">
                  <c:v>49.704404830932603</c:v>
                </c:pt>
              </c:numCache>
            </c:numRef>
          </c:xVal>
          <c:yVal>
            <c:numRef>
              <c:f>'231107_triple_13_Cell 5_SPB'!$AH$13:$AH$18</c:f>
              <c:numCache>
                <c:formatCode>General</c:formatCode>
                <c:ptCount val="6"/>
                <c:pt idx="0">
                  <c:v>1.7440486849804868</c:v>
                </c:pt>
                <c:pt idx="1">
                  <c:v>1.607938011468621</c:v>
                </c:pt>
                <c:pt idx="2">
                  <c:v>1.4461152748394459</c:v>
                </c:pt>
                <c:pt idx="3">
                  <c:v>1.2791302579466635</c:v>
                </c:pt>
                <c:pt idx="4">
                  <c:v>1.2035382077169743</c:v>
                </c:pt>
                <c:pt idx="5">
                  <c:v>1.138081303730653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E-412B-91E2-6BFF2FD6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389328"/>
        <c:axId val="627389656"/>
      </c:scatterChart>
      <c:valAx>
        <c:axId val="62738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89656"/>
        <c:crosses val="autoZero"/>
        <c:crossBetween val="midCat"/>
      </c:valAx>
      <c:valAx>
        <c:axId val="62738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8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5_SPB'!$AD$13:$AD$18</c:f>
              <c:numCache>
                <c:formatCode>General</c:formatCode>
                <c:ptCount val="6"/>
                <c:pt idx="0">
                  <c:v>30.587326049804599</c:v>
                </c:pt>
                <c:pt idx="1">
                  <c:v>34.410741806030202</c:v>
                </c:pt>
                <c:pt idx="2">
                  <c:v>38.234157562255803</c:v>
                </c:pt>
                <c:pt idx="3">
                  <c:v>42.057573318481403</c:v>
                </c:pt>
                <c:pt idx="4">
                  <c:v>45.880989074707003</c:v>
                </c:pt>
                <c:pt idx="5">
                  <c:v>49.704404830932603</c:v>
                </c:pt>
              </c:numCache>
            </c:numRef>
          </c:xVal>
          <c:yVal>
            <c:numRef>
              <c:f>'231107_triple_13_Cell 5_SPB'!$AF$13:$AF$18</c:f>
              <c:numCache>
                <c:formatCode>General</c:formatCode>
                <c:ptCount val="6"/>
                <c:pt idx="0">
                  <c:v>58</c:v>
                </c:pt>
                <c:pt idx="1">
                  <c:v>16</c:v>
                </c:pt>
                <c:pt idx="2">
                  <c:v>106</c:v>
                </c:pt>
                <c:pt idx="3">
                  <c:v>99</c:v>
                </c:pt>
                <c:pt idx="4">
                  <c:v>86</c:v>
                </c:pt>
                <c:pt idx="5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C-4E0F-A900-AF180E86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781048"/>
        <c:axId val="496781376"/>
      </c:scatterChart>
      <c:valAx>
        <c:axId val="49678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81376"/>
        <c:crosses val="autoZero"/>
        <c:crossBetween val="midCat"/>
      </c:valAx>
      <c:valAx>
        <c:axId val="4967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81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418256000593475E-3"/>
          <c:y val="0.752540111927153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5_SPB'!$AD$13:$AD$18</c:f>
              <c:numCache>
                <c:formatCode>General</c:formatCode>
                <c:ptCount val="6"/>
                <c:pt idx="0">
                  <c:v>30.587326049804599</c:v>
                </c:pt>
                <c:pt idx="1">
                  <c:v>34.410741806030202</c:v>
                </c:pt>
                <c:pt idx="2">
                  <c:v>38.234157562255803</c:v>
                </c:pt>
                <c:pt idx="3">
                  <c:v>42.057573318481403</c:v>
                </c:pt>
                <c:pt idx="4">
                  <c:v>45.880989074707003</c:v>
                </c:pt>
                <c:pt idx="5">
                  <c:v>49.704404830932603</c:v>
                </c:pt>
              </c:numCache>
            </c:numRef>
          </c:xVal>
          <c:yVal>
            <c:numRef>
              <c:f>'231107_triple_13_Cell 5_SPB'!$AG$13:$AG$18</c:f>
              <c:numCache>
                <c:formatCode>General</c:formatCode>
                <c:ptCount val="6"/>
                <c:pt idx="0">
                  <c:v>4531</c:v>
                </c:pt>
                <c:pt idx="1">
                  <c:v>1414</c:v>
                </c:pt>
                <c:pt idx="2">
                  <c:v>8510</c:v>
                </c:pt>
                <c:pt idx="3">
                  <c:v>7443</c:v>
                </c:pt>
                <c:pt idx="4">
                  <c:v>6531</c:v>
                </c:pt>
                <c:pt idx="5">
                  <c:v>5978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52-44FA-8FA5-AFB64A512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85720"/>
        <c:axId val="692386048"/>
      </c:scatterChart>
      <c:valAx>
        <c:axId val="69238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86048"/>
        <c:crosses val="autoZero"/>
        <c:crossBetween val="midCat"/>
      </c:valAx>
      <c:valAx>
        <c:axId val="6923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85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5_SPB'!$AD$13:$AD$18</c:f>
              <c:numCache>
                <c:formatCode>General</c:formatCode>
                <c:ptCount val="6"/>
                <c:pt idx="0">
                  <c:v>30.587326049804599</c:v>
                </c:pt>
                <c:pt idx="1">
                  <c:v>34.410741806030202</c:v>
                </c:pt>
                <c:pt idx="2">
                  <c:v>38.234157562255803</c:v>
                </c:pt>
                <c:pt idx="3">
                  <c:v>42.057573318481403</c:v>
                </c:pt>
                <c:pt idx="4">
                  <c:v>45.880989074707003</c:v>
                </c:pt>
                <c:pt idx="5">
                  <c:v>49.704404830932603</c:v>
                </c:pt>
              </c:numCache>
            </c:numRef>
          </c:xVal>
          <c:yVal>
            <c:numRef>
              <c:f>'231107_triple_13_Cell 5_SPB'!$AI$13:$AI$18</c:f>
              <c:numCache>
                <c:formatCode>General</c:formatCode>
                <c:ptCount val="6"/>
                <c:pt idx="0">
                  <c:v>4.5472961037533093</c:v>
                </c:pt>
                <c:pt idx="1">
                  <c:v>4.5092407010571947</c:v>
                </c:pt>
                <c:pt idx="2">
                  <c:v>4.4809407622197286</c:v>
                </c:pt>
                <c:pt idx="3">
                  <c:v>4.3406946867795817</c:v>
                </c:pt>
                <c:pt idx="4">
                  <c:v>4.3532112417334572</c:v>
                </c:pt>
                <c:pt idx="5">
                  <c:v>4.3551295164867465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5-4FE7-9EEC-92AE278B1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61176"/>
        <c:axId val="498126880"/>
      </c:scatterChart>
      <c:valAx>
        <c:axId val="501061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26880"/>
        <c:crosses val="autoZero"/>
        <c:crossBetween val="midCat"/>
      </c:valAx>
      <c:valAx>
        <c:axId val="4981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61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25</xdr:row>
      <xdr:rowOff>0</xdr:rowOff>
    </xdr:from>
    <xdr:to>
      <xdr:col>16</xdr:col>
      <xdr:colOff>152400</xdr:colOff>
      <xdr:row>40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97147-335E-4741-AFDD-563902218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571272</xdr:colOff>
      <xdr:row>25</xdr:row>
      <xdr:rowOff>95705</xdr:rowOff>
    </xdr:from>
    <xdr:to>
      <xdr:col>29</xdr:col>
      <xdr:colOff>430893</xdr:colOff>
      <xdr:row>39</xdr:row>
      <xdr:rowOff>147413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AFC72-F31D-4341-9439-3F0E1A578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419100</xdr:colOff>
      <xdr:row>35</xdr:row>
      <xdr:rowOff>133350</xdr:rowOff>
    </xdr:from>
    <xdr:to>
      <xdr:col>31</xdr:col>
      <xdr:colOff>9525</xdr:colOff>
      <xdr:row>50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FE61D6-E62E-439D-83B5-D866ED5CB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320220</xdr:colOff>
      <xdr:row>31</xdr:row>
      <xdr:rowOff>165553</xdr:rowOff>
    </xdr:from>
    <xdr:to>
      <xdr:col>24</xdr:col>
      <xdr:colOff>539296</xdr:colOff>
      <xdr:row>46</xdr:row>
      <xdr:rowOff>41729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F85877-E51C-4997-A81A-DFC590664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316366</xdr:colOff>
      <xdr:row>11</xdr:row>
      <xdr:rowOff>6123</xdr:rowOff>
    </xdr:from>
    <xdr:to>
      <xdr:col>24</xdr:col>
      <xdr:colOff>602116</xdr:colOff>
      <xdr:row>25</xdr:row>
      <xdr:rowOff>50573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FA5FEB-9444-45FC-A562-8EED8881A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"/>
  <sheetViews>
    <sheetView tabSelected="1" topLeftCell="H1" zoomScale="84" zoomScaleNormal="84" workbookViewId="0">
      <selection activeCell="AD13" activeCellId="1" sqref="AI13:AI18 AD13:AD18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5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5" x14ac:dyDescent="0.25">
      <c r="A5">
        <v>0</v>
      </c>
      <c r="B5">
        <v>2.7422587348007599</v>
      </c>
      <c r="C5">
        <v>5.3663046768248304</v>
      </c>
      <c r="D5">
        <v>0.81667229453953005</v>
      </c>
      <c r="E5">
        <v>0</v>
      </c>
      <c r="F5">
        <v>0</v>
      </c>
      <c r="G5">
        <v>11.074074074074</v>
      </c>
      <c r="H5">
        <v>11</v>
      </c>
      <c r="I5">
        <v>4</v>
      </c>
      <c r="J5">
        <v>18</v>
      </c>
      <c r="K5">
        <v>1495</v>
      </c>
      <c r="L5">
        <v>3.6866633978975401</v>
      </c>
      <c r="M5">
        <v>1</v>
      </c>
      <c r="N5">
        <v>3.5870098927353302</v>
      </c>
      <c r="O5">
        <v>3.10875438120843</v>
      </c>
      <c r="P5">
        <v>1.77625860970598</v>
      </c>
      <c r="Q5">
        <v>0</v>
      </c>
      <c r="R5">
        <v>0</v>
      </c>
      <c r="S5">
        <v>58.088888888888803</v>
      </c>
      <c r="T5">
        <v>57</v>
      </c>
      <c r="U5">
        <v>21</v>
      </c>
      <c r="V5">
        <v>96</v>
      </c>
      <c r="W5">
        <v>7842</v>
      </c>
      <c r="X5">
        <v>19.008429656600999</v>
      </c>
      <c r="Y5">
        <f>E5/60</f>
        <v>0</v>
      </c>
      <c r="Z5">
        <f>SQRT((B5-N5)^2+(C5-O5)^2+(D5-P5)^2)</f>
        <v>2.594406242731508</v>
      </c>
    </row>
    <row r="6" spans="1:35" x14ac:dyDescent="0.25">
      <c r="A6">
        <v>0</v>
      </c>
      <c r="B6">
        <v>2.7307816132166201</v>
      </c>
      <c r="C6">
        <v>5.3941842445186996</v>
      </c>
      <c r="D6">
        <v>0.766575346318489</v>
      </c>
      <c r="E6">
        <v>3.8234157562255802</v>
      </c>
      <c r="F6">
        <v>1</v>
      </c>
      <c r="G6">
        <v>12.103703703703699</v>
      </c>
      <c r="H6">
        <v>12</v>
      </c>
      <c r="I6">
        <v>4</v>
      </c>
      <c r="J6">
        <v>20</v>
      </c>
      <c r="K6">
        <v>1634</v>
      </c>
      <c r="L6">
        <v>4.0209787070189202</v>
      </c>
      <c r="M6">
        <v>1</v>
      </c>
      <c r="N6">
        <v>3.5802341484174902</v>
      </c>
      <c r="O6">
        <v>3.18196499634703</v>
      </c>
      <c r="P6">
        <v>1.9665971946810401</v>
      </c>
      <c r="Q6">
        <v>3.8234157562255802</v>
      </c>
      <c r="R6">
        <v>1</v>
      </c>
      <c r="S6">
        <v>44.548148148148101</v>
      </c>
      <c r="T6">
        <v>44</v>
      </c>
      <c r="U6">
        <v>17</v>
      </c>
      <c r="V6">
        <v>75</v>
      </c>
      <c r="W6">
        <v>6014</v>
      </c>
      <c r="X6">
        <v>14.900024300550401</v>
      </c>
      <c r="Y6">
        <f t="shared" ref="Y6:Y23" si="0">E6/60</f>
        <v>6.3723595937093008E-2</v>
      </c>
      <c r="Z6">
        <f t="shared" ref="Z6:Z23" si="1">SQRT((B6-N6)^2+(C6-O6)^2+(D6-P6)^2)</f>
        <v>2.6562259030601831</v>
      </c>
    </row>
    <row r="7" spans="1:35" x14ac:dyDescent="0.25">
      <c r="A7">
        <v>0</v>
      </c>
      <c r="B7">
        <v>2.5128719793576</v>
      </c>
      <c r="C7">
        <v>5.5593176957715702</v>
      </c>
      <c r="D7">
        <v>0.87782460458692602</v>
      </c>
      <c r="E7">
        <v>7.6468315124511701</v>
      </c>
      <c r="F7">
        <v>2</v>
      </c>
      <c r="G7">
        <v>7</v>
      </c>
      <c r="H7">
        <v>7</v>
      </c>
      <c r="I7">
        <v>3</v>
      </c>
      <c r="J7">
        <v>11</v>
      </c>
      <c r="K7">
        <v>945</v>
      </c>
      <c r="L7">
        <v>2.18201604711119</v>
      </c>
      <c r="M7">
        <v>1</v>
      </c>
      <c r="N7">
        <v>3.6569660601137399</v>
      </c>
      <c r="O7">
        <v>3.2047825562438401</v>
      </c>
      <c r="P7">
        <v>1.74315772876529</v>
      </c>
      <c r="Q7">
        <v>7.6468315124511701</v>
      </c>
      <c r="R7">
        <v>2</v>
      </c>
      <c r="S7">
        <v>37.429629629629602</v>
      </c>
      <c r="T7">
        <v>37</v>
      </c>
      <c r="U7">
        <v>12</v>
      </c>
      <c r="V7">
        <v>63</v>
      </c>
      <c r="W7">
        <v>5053</v>
      </c>
      <c r="X7">
        <v>12.476569527527699</v>
      </c>
      <c r="Y7">
        <f t="shared" si="0"/>
        <v>0.12744719187418616</v>
      </c>
      <c r="Z7">
        <f t="shared" si="1"/>
        <v>2.7570978228369758</v>
      </c>
    </row>
    <row r="8" spans="1:35" x14ac:dyDescent="0.25">
      <c r="A8">
        <v>0</v>
      </c>
      <c r="B8">
        <v>2.4738219137723201</v>
      </c>
      <c r="C8">
        <v>5.5161236842196404</v>
      </c>
      <c r="D8">
        <v>1.06159111605245</v>
      </c>
      <c r="E8">
        <v>11.470247268676699</v>
      </c>
      <c r="F8">
        <v>3</v>
      </c>
      <c r="G8">
        <v>4.8962962962962902</v>
      </c>
      <c r="H8">
        <v>5</v>
      </c>
      <c r="I8">
        <v>2</v>
      </c>
      <c r="J8">
        <v>8</v>
      </c>
      <c r="K8">
        <v>661</v>
      </c>
      <c r="L8">
        <v>1.6539147322048</v>
      </c>
      <c r="M8">
        <v>1</v>
      </c>
      <c r="N8">
        <v>3.69520616081049</v>
      </c>
      <c r="O8">
        <v>3.1364021078417998</v>
      </c>
      <c r="P8">
        <v>1.6788303702510801</v>
      </c>
      <c r="Q8">
        <v>11.470247268676699</v>
      </c>
      <c r="R8">
        <v>3</v>
      </c>
      <c r="S8">
        <v>31.496296296296201</v>
      </c>
      <c r="T8">
        <v>31</v>
      </c>
      <c r="U8">
        <v>14</v>
      </c>
      <c r="V8">
        <v>51</v>
      </c>
      <c r="W8">
        <v>4252</v>
      </c>
      <c r="X8">
        <v>9.2807569123847404</v>
      </c>
      <c r="Y8">
        <f t="shared" si="0"/>
        <v>0.19117078781127833</v>
      </c>
      <c r="Z8">
        <f t="shared" si="1"/>
        <v>2.7451481848736168</v>
      </c>
    </row>
    <row r="9" spans="1:35" x14ac:dyDescent="0.25">
      <c r="A9">
        <v>0</v>
      </c>
      <c r="B9">
        <v>2.47227517332629</v>
      </c>
      <c r="C9">
        <v>5.5670856982611898</v>
      </c>
      <c r="D9">
        <v>1.0845874665294699</v>
      </c>
      <c r="E9">
        <v>15.293663024902299</v>
      </c>
      <c r="F9">
        <v>4</v>
      </c>
      <c r="G9">
        <v>8.0962962962962894</v>
      </c>
      <c r="H9">
        <v>8</v>
      </c>
      <c r="I9">
        <v>4</v>
      </c>
      <c r="J9">
        <v>12</v>
      </c>
      <c r="K9">
        <v>1093</v>
      </c>
      <c r="L9">
        <v>2.2054006779629201</v>
      </c>
      <c r="M9">
        <v>1</v>
      </c>
      <c r="N9">
        <v>3.5821299981963399</v>
      </c>
      <c r="O9">
        <v>3.0696476877651602</v>
      </c>
      <c r="P9">
        <v>1.7225841063190299</v>
      </c>
      <c r="Q9">
        <v>15.293663024902299</v>
      </c>
      <c r="R9">
        <v>4</v>
      </c>
      <c r="S9">
        <v>25.814814814814799</v>
      </c>
      <c r="T9">
        <v>25</v>
      </c>
      <c r="U9">
        <v>10</v>
      </c>
      <c r="V9">
        <v>43</v>
      </c>
      <c r="W9">
        <v>3485</v>
      </c>
      <c r="X9">
        <v>8.3489075030989106</v>
      </c>
      <c r="Y9">
        <f t="shared" si="0"/>
        <v>0.25489438374837164</v>
      </c>
      <c r="Z9">
        <f t="shared" si="1"/>
        <v>2.8064237137218724</v>
      </c>
    </row>
    <row r="10" spans="1:35" x14ac:dyDescent="0.25">
      <c r="A10">
        <v>0</v>
      </c>
      <c r="B10">
        <v>2.6684332856180699</v>
      </c>
      <c r="C10">
        <v>5.62378899172516</v>
      </c>
      <c r="D10">
        <v>0.95755903075637305</v>
      </c>
      <c r="E10">
        <v>19.117078781127901</v>
      </c>
      <c r="F10">
        <v>5</v>
      </c>
      <c r="G10">
        <v>5.1111111111111098</v>
      </c>
      <c r="H10">
        <v>5</v>
      </c>
      <c r="I10">
        <v>3</v>
      </c>
      <c r="J10">
        <v>7</v>
      </c>
      <c r="K10">
        <v>690</v>
      </c>
      <c r="L10">
        <v>1.1107793866340601</v>
      </c>
      <c r="M10">
        <v>1</v>
      </c>
      <c r="N10">
        <v>3.64712372749631</v>
      </c>
      <c r="O10">
        <v>2.98566444573677</v>
      </c>
      <c r="P10">
        <v>1.8202675871742899</v>
      </c>
      <c r="Q10">
        <v>19.117078781127901</v>
      </c>
      <c r="R10">
        <v>5</v>
      </c>
      <c r="S10">
        <v>14.8814814814814</v>
      </c>
      <c r="T10">
        <v>15</v>
      </c>
      <c r="U10">
        <v>5</v>
      </c>
      <c r="V10">
        <v>24</v>
      </c>
      <c r="W10">
        <v>2009</v>
      </c>
      <c r="X10">
        <v>4.8238398216207896</v>
      </c>
      <c r="Y10">
        <f t="shared" si="0"/>
        <v>0.31861797968546501</v>
      </c>
      <c r="Z10">
        <f t="shared" si="1"/>
        <v>2.9430939764959869</v>
      </c>
    </row>
    <row r="11" spans="1:35" x14ac:dyDescent="0.25">
      <c r="A11">
        <v>0</v>
      </c>
      <c r="B11">
        <v>2.5074308620930998</v>
      </c>
      <c r="C11">
        <v>5.7930354938494197</v>
      </c>
      <c r="D11">
        <v>1.2012861959430801</v>
      </c>
      <c r="E11">
        <v>22.940494537353501</v>
      </c>
      <c r="F11">
        <v>6</v>
      </c>
      <c r="G11">
        <v>5.1555555555555497</v>
      </c>
      <c r="H11">
        <v>5</v>
      </c>
      <c r="I11">
        <v>2</v>
      </c>
      <c r="J11">
        <v>9</v>
      </c>
      <c r="K11">
        <v>696</v>
      </c>
      <c r="L11">
        <v>1.7528938404593699</v>
      </c>
      <c r="M11">
        <v>1</v>
      </c>
      <c r="N11">
        <v>3.65543510891214</v>
      </c>
      <c r="O11">
        <v>3.0607496054789101</v>
      </c>
      <c r="P11">
        <v>1.8107114078970801</v>
      </c>
      <c r="Q11">
        <v>22.940494537353501</v>
      </c>
      <c r="R11">
        <v>6</v>
      </c>
      <c r="S11">
        <v>10.437037037036999</v>
      </c>
      <c r="T11">
        <v>10</v>
      </c>
      <c r="U11">
        <v>3</v>
      </c>
      <c r="V11">
        <v>18</v>
      </c>
      <c r="W11">
        <v>1409</v>
      </c>
      <c r="X11">
        <v>3.83348835219036</v>
      </c>
      <c r="Y11">
        <f t="shared" si="0"/>
        <v>0.38234157562255838</v>
      </c>
      <c r="Z11">
        <f t="shared" si="1"/>
        <v>3.0256733160518756</v>
      </c>
    </row>
    <row r="12" spans="1:35" x14ac:dyDescent="0.25">
      <c r="A12">
        <v>0</v>
      </c>
      <c r="B12">
        <v>2.5437526785261402</v>
      </c>
      <c r="C12">
        <v>5.70306676830982</v>
      </c>
      <c r="D12">
        <v>1.0484211603407301</v>
      </c>
      <c r="E12">
        <v>26.763910293579102</v>
      </c>
      <c r="F12">
        <v>7</v>
      </c>
      <c r="G12">
        <v>5.2888888888888799</v>
      </c>
      <c r="H12">
        <v>5</v>
      </c>
      <c r="I12">
        <v>2</v>
      </c>
      <c r="J12">
        <v>9</v>
      </c>
      <c r="K12">
        <v>714</v>
      </c>
      <c r="L12">
        <v>1.79080014913148</v>
      </c>
      <c r="M12">
        <v>1</v>
      </c>
      <c r="N12">
        <v>3.72276898285096</v>
      </c>
      <c r="O12">
        <v>2.9373630332615002</v>
      </c>
      <c r="P12">
        <v>1.83709087943371</v>
      </c>
      <c r="Q12">
        <v>26.763910293579102</v>
      </c>
      <c r="R12">
        <v>7</v>
      </c>
      <c r="S12">
        <v>6.7037037037036997</v>
      </c>
      <c r="T12">
        <v>7</v>
      </c>
      <c r="U12">
        <v>2</v>
      </c>
      <c r="V12">
        <v>11</v>
      </c>
      <c r="W12">
        <v>905</v>
      </c>
      <c r="X12">
        <v>2.31179349538073</v>
      </c>
      <c r="Y12">
        <f t="shared" si="0"/>
        <v>0.4460651715596517</v>
      </c>
      <c r="Z12">
        <f t="shared" si="1"/>
        <v>3.1082465349032695</v>
      </c>
    </row>
    <row r="13" spans="1:35" x14ac:dyDescent="0.25">
      <c r="A13">
        <v>0</v>
      </c>
      <c r="B13">
        <v>2.61308319706824</v>
      </c>
      <c r="C13">
        <v>5.7520973323703997</v>
      </c>
      <c r="D13">
        <v>1.4599320953608701</v>
      </c>
      <c r="E13">
        <v>30.587326049804599</v>
      </c>
      <c r="F13">
        <v>8</v>
      </c>
      <c r="G13">
        <v>4.9259259259259203</v>
      </c>
      <c r="H13">
        <v>5</v>
      </c>
      <c r="I13">
        <v>2</v>
      </c>
      <c r="J13">
        <v>9</v>
      </c>
      <c r="K13">
        <v>665</v>
      </c>
      <c r="L13">
        <v>1.8673535812633699</v>
      </c>
      <c r="M13">
        <v>1</v>
      </c>
      <c r="N13">
        <v>3.7022297662444101</v>
      </c>
      <c r="O13">
        <v>2.86202254568602</v>
      </c>
      <c r="P13">
        <v>1.8936656675949499</v>
      </c>
      <c r="Q13">
        <v>30.587326049804599</v>
      </c>
      <c r="R13">
        <v>8</v>
      </c>
      <c r="S13">
        <v>7.6814814814814802</v>
      </c>
      <c r="T13">
        <v>7</v>
      </c>
      <c r="U13">
        <v>2</v>
      </c>
      <c r="V13">
        <v>14</v>
      </c>
      <c r="W13">
        <v>1037</v>
      </c>
      <c r="X13">
        <v>3.0607087557199999</v>
      </c>
      <c r="Y13">
        <f t="shared" si="0"/>
        <v>0.50978876749674329</v>
      </c>
      <c r="Z13">
        <f t="shared" si="1"/>
        <v>3.1187974178294939</v>
      </c>
      <c r="AA13">
        <v>3.18059722375131</v>
      </c>
      <c r="AB13">
        <v>1.2407293976829501</v>
      </c>
      <c r="AC13">
        <v>1.5181475795716901</v>
      </c>
      <c r="AD13">
        <v>30.587326049804599</v>
      </c>
      <c r="AE13">
        <v>8</v>
      </c>
      <c r="AF13">
        <v>58</v>
      </c>
      <c r="AG13">
        <v>4531</v>
      </c>
      <c r="AH13">
        <f t="shared" ref="AH13:AI18" si="2">SQRT((N13-AA13)^2+(O13-AB13)^2+(P13-AC13)^2)</f>
        <v>1.7440486849804868</v>
      </c>
      <c r="AI13">
        <f>SQRT((B13-AA13)^2+(C13-AB13)^2+(D13-AC13)^2)</f>
        <v>4.5472961037533093</v>
      </c>
    </row>
    <row r="14" spans="1:35" x14ac:dyDescent="0.25">
      <c r="A14">
        <v>0</v>
      </c>
      <c r="B14">
        <v>2.9118208333865598</v>
      </c>
      <c r="C14">
        <v>5.6196520723008998</v>
      </c>
      <c r="D14">
        <v>1.2755833166161601</v>
      </c>
      <c r="E14">
        <v>34.410741806030202</v>
      </c>
      <c r="F14">
        <v>9</v>
      </c>
      <c r="G14">
        <v>9.4444444444444393</v>
      </c>
      <c r="H14">
        <v>9</v>
      </c>
      <c r="I14">
        <v>4</v>
      </c>
      <c r="J14">
        <v>15</v>
      </c>
      <c r="K14">
        <v>1275</v>
      </c>
      <c r="L14">
        <v>2.66448916071396</v>
      </c>
      <c r="M14">
        <v>1</v>
      </c>
      <c r="N14">
        <v>3.6361048303433199</v>
      </c>
      <c r="O14">
        <v>2.5986144630433201</v>
      </c>
      <c r="P14">
        <v>1.8845081137650701</v>
      </c>
      <c r="Q14">
        <v>34.410741806030202</v>
      </c>
      <c r="R14">
        <v>9</v>
      </c>
      <c r="S14">
        <v>8.4666666666666597</v>
      </c>
      <c r="T14">
        <v>8</v>
      </c>
      <c r="U14">
        <v>3</v>
      </c>
      <c r="V14">
        <v>14</v>
      </c>
      <c r="W14">
        <v>1143</v>
      </c>
      <c r="X14">
        <v>2.6451871248312702</v>
      </c>
      <c r="Y14">
        <f t="shared" si="0"/>
        <v>0.57351236343383671</v>
      </c>
      <c r="Z14">
        <f>SQRT((B14-N14)^2+(C14-O14)^2+(D14-P14)^2)</f>
        <v>3.1657613544579215</v>
      </c>
      <c r="AA14">
        <v>3.1910157156313401</v>
      </c>
      <c r="AB14">
        <v>1.1217283435772101</v>
      </c>
      <c r="AC14">
        <v>1.43045115828602</v>
      </c>
      <c r="AD14">
        <v>34.410741806030202</v>
      </c>
      <c r="AE14">
        <v>9</v>
      </c>
      <c r="AF14">
        <v>16</v>
      </c>
      <c r="AG14">
        <v>1414</v>
      </c>
      <c r="AH14">
        <f t="shared" si="2"/>
        <v>1.607938011468621</v>
      </c>
      <c r="AI14">
        <f t="shared" ref="AI14:AI18" si="3">SQRT((B14-AA14)^2+(C14-AB14)^2+(D14-AC14)^2)</f>
        <v>4.5092407010571947</v>
      </c>
    </row>
    <row r="15" spans="1:35" x14ac:dyDescent="0.25">
      <c r="A15">
        <v>0</v>
      </c>
      <c r="B15">
        <v>3.0046838353743199</v>
      </c>
      <c r="C15">
        <v>5.5879681861752903</v>
      </c>
      <c r="D15">
        <v>1.3524973678447201</v>
      </c>
      <c r="E15">
        <v>38.234157562255803</v>
      </c>
      <c r="F15">
        <v>10</v>
      </c>
      <c r="G15">
        <v>10.214814814814799</v>
      </c>
      <c r="H15">
        <v>10</v>
      </c>
      <c r="I15">
        <v>4</v>
      </c>
      <c r="J15">
        <v>16</v>
      </c>
      <c r="K15">
        <v>1379</v>
      </c>
      <c r="L15">
        <v>3.1204314310999899</v>
      </c>
      <c r="M15">
        <v>1</v>
      </c>
      <c r="N15">
        <v>3.6171562833686801</v>
      </c>
      <c r="O15">
        <v>2.4667726898506999</v>
      </c>
      <c r="P15">
        <v>1.7383441778161299</v>
      </c>
      <c r="Q15">
        <v>38.234157562255803</v>
      </c>
      <c r="R15">
        <v>10</v>
      </c>
      <c r="S15">
        <v>16.7777777777777</v>
      </c>
      <c r="T15">
        <v>17</v>
      </c>
      <c r="U15">
        <v>7</v>
      </c>
      <c r="V15">
        <v>27</v>
      </c>
      <c r="W15">
        <v>2265</v>
      </c>
      <c r="X15">
        <v>4.9980095540612499</v>
      </c>
      <c r="Y15">
        <f t="shared" si="0"/>
        <v>0.63723595937093003</v>
      </c>
      <c r="Z15">
        <f>SQRT((B15-N15)^2+(C15-O15)^2+(D15-P15)^2)</f>
        <v>3.2040383247698867</v>
      </c>
      <c r="AA15">
        <v>3.2016543412574201</v>
      </c>
      <c r="AB15">
        <v>1.1123801280073</v>
      </c>
      <c r="AC15">
        <v>1.44812303342963</v>
      </c>
      <c r="AD15">
        <v>38.234157562255803</v>
      </c>
      <c r="AE15">
        <v>10</v>
      </c>
      <c r="AF15">
        <v>106</v>
      </c>
      <c r="AG15">
        <v>8510</v>
      </c>
      <c r="AH15">
        <f t="shared" si="2"/>
        <v>1.4461152748394459</v>
      </c>
      <c r="AI15">
        <f t="shared" si="3"/>
        <v>4.4809407622197286</v>
      </c>
    </row>
    <row r="16" spans="1:35" x14ac:dyDescent="0.25">
      <c r="A16">
        <v>0</v>
      </c>
      <c r="B16">
        <v>3.0248689750640199</v>
      </c>
      <c r="C16">
        <v>5.6209603507580503</v>
      </c>
      <c r="D16">
        <v>1.45961877322873</v>
      </c>
      <c r="E16">
        <v>42.057573318481403</v>
      </c>
      <c r="F16">
        <v>11</v>
      </c>
      <c r="G16">
        <v>9.7481481481481396</v>
      </c>
      <c r="H16">
        <v>10</v>
      </c>
      <c r="I16">
        <v>4</v>
      </c>
      <c r="J16">
        <v>15</v>
      </c>
      <c r="K16">
        <v>1316</v>
      </c>
      <c r="L16">
        <v>2.9992997155766998</v>
      </c>
      <c r="M16">
        <v>1</v>
      </c>
      <c r="N16">
        <v>3.5678317325202999</v>
      </c>
      <c r="O16">
        <v>2.4333481585269001</v>
      </c>
      <c r="P16">
        <v>1.75241027890451</v>
      </c>
      <c r="Q16">
        <v>42.057573318481403</v>
      </c>
      <c r="R16">
        <v>11</v>
      </c>
      <c r="S16">
        <v>14.6814814814814</v>
      </c>
      <c r="T16">
        <v>14</v>
      </c>
      <c r="U16">
        <v>6</v>
      </c>
      <c r="V16">
        <v>25</v>
      </c>
      <c r="W16">
        <v>1982</v>
      </c>
      <c r="X16">
        <v>4.9590138822507797</v>
      </c>
      <c r="Y16">
        <f t="shared" si="0"/>
        <v>0.70095955530802334</v>
      </c>
      <c r="Z16">
        <f t="shared" si="1"/>
        <v>3.2467532874921519</v>
      </c>
      <c r="AA16">
        <v>3.1638376416957099</v>
      </c>
      <c r="AB16">
        <v>1.2835462194242</v>
      </c>
      <c r="AC16">
        <v>1.3639279856025099</v>
      </c>
      <c r="AD16">
        <v>42.057573318481403</v>
      </c>
      <c r="AE16">
        <v>11</v>
      </c>
      <c r="AF16">
        <v>99</v>
      </c>
      <c r="AG16">
        <v>7443</v>
      </c>
      <c r="AH16">
        <f t="shared" si="2"/>
        <v>1.2791302579466635</v>
      </c>
      <c r="AI16">
        <f t="shared" si="3"/>
        <v>4.3406946867795817</v>
      </c>
    </row>
    <row r="17" spans="1:35" x14ac:dyDescent="0.25">
      <c r="A17">
        <v>0</v>
      </c>
      <c r="B17">
        <v>3.1582127866228999</v>
      </c>
      <c r="C17">
        <v>5.6456570222944604</v>
      </c>
      <c r="D17">
        <v>1.5887646167114899</v>
      </c>
      <c r="E17">
        <v>45.880989074707003</v>
      </c>
      <c r="F17">
        <v>12</v>
      </c>
      <c r="G17">
        <v>6.4</v>
      </c>
      <c r="H17">
        <v>6</v>
      </c>
      <c r="I17">
        <v>2</v>
      </c>
      <c r="J17">
        <v>11</v>
      </c>
      <c r="K17">
        <v>864</v>
      </c>
      <c r="L17">
        <v>2.3346833337000299</v>
      </c>
      <c r="M17">
        <v>1</v>
      </c>
      <c r="N17">
        <v>3.5745361834235498</v>
      </c>
      <c r="O17">
        <v>2.3419798966546401</v>
      </c>
      <c r="P17">
        <v>1.7964913472866599</v>
      </c>
      <c r="Q17">
        <v>45.880989074707003</v>
      </c>
      <c r="R17">
        <v>12</v>
      </c>
      <c r="S17">
        <v>10.385185185185099</v>
      </c>
      <c r="T17">
        <v>10</v>
      </c>
      <c r="U17">
        <v>4</v>
      </c>
      <c r="V17">
        <v>18</v>
      </c>
      <c r="W17">
        <v>1402</v>
      </c>
      <c r="X17">
        <v>3.6528156900465798</v>
      </c>
      <c r="Y17">
        <f t="shared" si="0"/>
        <v>0.76468315124511677</v>
      </c>
      <c r="Z17">
        <f t="shared" si="1"/>
        <v>3.3362790824202442</v>
      </c>
      <c r="AA17">
        <v>3.1724522783218601</v>
      </c>
      <c r="AB17">
        <v>1.2990019363032601</v>
      </c>
      <c r="AC17">
        <v>1.3503638712060699</v>
      </c>
      <c r="AD17">
        <v>45.880989074707003</v>
      </c>
      <c r="AE17">
        <v>12</v>
      </c>
      <c r="AF17">
        <v>86</v>
      </c>
      <c r="AG17">
        <v>6531</v>
      </c>
      <c r="AH17">
        <f t="shared" si="2"/>
        <v>1.2035382077169743</v>
      </c>
      <c r="AI17">
        <f t="shared" si="3"/>
        <v>4.3532112417334572</v>
      </c>
    </row>
    <row r="18" spans="1:35" x14ac:dyDescent="0.25">
      <c r="A18">
        <v>0</v>
      </c>
      <c r="B18">
        <v>3.4077184961748501</v>
      </c>
      <c r="C18">
        <v>5.5147384188858499</v>
      </c>
      <c r="D18">
        <v>1.7042514917482099</v>
      </c>
      <c r="E18">
        <v>49.704404830932603</v>
      </c>
      <c r="F18">
        <v>13</v>
      </c>
      <c r="G18">
        <v>6.3777777777777702</v>
      </c>
      <c r="H18">
        <v>6</v>
      </c>
      <c r="I18">
        <v>2</v>
      </c>
      <c r="J18">
        <v>13</v>
      </c>
      <c r="K18">
        <v>861</v>
      </c>
      <c r="L18">
        <v>2.7531980499934101</v>
      </c>
      <c r="M18">
        <v>1</v>
      </c>
      <c r="N18">
        <v>3.4846578530745398</v>
      </c>
      <c r="O18">
        <v>2.1364963800932801</v>
      </c>
      <c r="P18">
        <v>1.80496653132926</v>
      </c>
      <c r="Q18">
        <v>49.704404830932603</v>
      </c>
      <c r="R18">
        <v>13</v>
      </c>
      <c r="S18">
        <v>9.2962962962962905</v>
      </c>
      <c r="T18">
        <v>9</v>
      </c>
      <c r="U18">
        <v>3</v>
      </c>
      <c r="V18">
        <v>17</v>
      </c>
      <c r="W18">
        <v>1255</v>
      </c>
      <c r="X18">
        <v>3.59118754331416</v>
      </c>
      <c r="Y18">
        <f t="shared" si="0"/>
        <v>0.82840674718221008</v>
      </c>
      <c r="Z18">
        <f t="shared" si="1"/>
        <v>3.380618649966797</v>
      </c>
      <c r="AA18">
        <v>3.1970379337514698</v>
      </c>
      <c r="AB18">
        <v>1.1891600421802799</v>
      </c>
      <c r="AC18">
        <v>1.2436665235086299</v>
      </c>
      <c r="AD18">
        <v>49.704404830932603</v>
      </c>
      <c r="AE18">
        <v>13</v>
      </c>
      <c r="AF18">
        <v>76</v>
      </c>
      <c r="AG18">
        <v>5978</v>
      </c>
      <c r="AH18">
        <f t="shared" si="2"/>
        <v>1.138081303730653</v>
      </c>
      <c r="AI18">
        <f t="shared" si="3"/>
        <v>4.3551295164867465</v>
      </c>
    </row>
    <row r="19" spans="1:35" x14ac:dyDescent="0.25">
      <c r="A19">
        <v>0</v>
      </c>
      <c r="B19">
        <v>3.72016956764794</v>
      </c>
      <c r="C19">
        <v>5.4110500183024302</v>
      </c>
      <c r="D19">
        <v>1.77870798841369</v>
      </c>
      <c r="E19">
        <v>53.527820587158203</v>
      </c>
      <c r="F19">
        <v>14</v>
      </c>
      <c r="G19">
        <v>6.4370370370370296</v>
      </c>
      <c r="H19">
        <v>6</v>
      </c>
      <c r="I19">
        <v>2</v>
      </c>
      <c r="J19">
        <v>12</v>
      </c>
      <c r="K19">
        <v>869</v>
      </c>
      <c r="L19">
        <v>2.4237857628080799</v>
      </c>
      <c r="M19">
        <v>1</v>
      </c>
      <c r="N19">
        <v>3.3608014220145002</v>
      </c>
      <c r="O19">
        <v>1.96445726206367</v>
      </c>
      <c r="P19">
        <v>1.7094304953473001</v>
      </c>
      <c r="Q19">
        <v>53.527820587158203</v>
      </c>
      <c r="R19">
        <v>14</v>
      </c>
      <c r="S19">
        <v>12.844444444444401</v>
      </c>
      <c r="T19">
        <v>12</v>
      </c>
      <c r="U19">
        <v>4</v>
      </c>
      <c r="V19">
        <v>24</v>
      </c>
      <c r="W19">
        <v>1734</v>
      </c>
      <c r="X19">
        <v>5.2445660103402201</v>
      </c>
      <c r="Y19">
        <f t="shared" si="0"/>
        <v>0.89213034311930339</v>
      </c>
      <c r="Z19">
        <f t="shared" si="1"/>
        <v>3.4659697723002543</v>
      </c>
    </row>
    <row r="20" spans="1:35" x14ac:dyDescent="0.25">
      <c r="A20">
        <v>0</v>
      </c>
      <c r="B20">
        <v>3.7518434724677401</v>
      </c>
      <c r="C20">
        <v>5.1981769701569496</v>
      </c>
      <c r="D20">
        <v>1.8061736703025499</v>
      </c>
      <c r="E20">
        <v>57.351236343383697</v>
      </c>
      <c r="F20">
        <v>15</v>
      </c>
      <c r="G20">
        <v>8.7185185185185095</v>
      </c>
      <c r="H20">
        <v>9</v>
      </c>
      <c r="I20">
        <v>3</v>
      </c>
      <c r="J20">
        <v>14</v>
      </c>
      <c r="K20">
        <v>1177</v>
      </c>
      <c r="L20">
        <v>2.5616338415330402</v>
      </c>
      <c r="M20">
        <v>1</v>
      </c>
      <c r="N20">
        <v>3.31279977985325</v>
      </c>
      <c r="O20">
        <v>1.7761059343385901</v>
      </c>
      <c r="P20">
        <v>1.59261437175203</v>
      </c>
      <c r="Q20">
        <v>57.351236343383697</v>
      </c>
      <c r="R20">
        <v>15</v>
      </c>
      <c r="S20">
        <v>17.325925925925901</v>
      </c>
      <c r="T20">
        <v>17</v>
      </c>
      <c r="U20">
        <v>7</v>
      </c>
      <c r="V20">
        <v>29</v>
      </c>
      <c r="W20">
        <v>2339</v>
      </c>
      <c r="X20">
        <v>5.5487387697359196</v>
      </c>
      <c r="Y20">
        <f t="shared" si="0"/>
        <v>0.95585393905639493</v>
      </c>
      <c r="Z20">
        <f t="shared" si="1"/>
        <v>3.4567234648159086</v>
      </c>
    </row>
    <row r="21" spans="1:35" x14ac:dyDescent="0.25">
      <c r="M21">
        <v>1</v>
      </c>
      <c r="N21">
        <v>3.2858302523015599</v>
      </c>
      <c r="O21">
        <v>1.5828354586108599</v>
      </c>
      <c r="P21">
        <v>1.5183005919819199</v>
      </c>
      <c r="Q21">
        <v>61.174652099609297</v>
      </c>
      <c r="R21">
        <v>16</v>
      </c>
      <c r="S21">
        <v>15.7259259259259</v>
      </c>
      <c r="T21">
        <v>16</v>
      </c>
      <c r="U21">
        <v>6</v>
      </c>
      <c r="V21">
        <v>25</v>
      </c>
      <c r="W21">
        <v>2123</v>
      </c>
      <c r="X21">
        <v>4.5423868234853799</v>
      </c>
    </row>
    <row r="22" spans="1:35" x14ac:dyDescent="0.25">
      <c r="A22">
        <v>0</v>
      </c>
      <c r="B22">
        <v>3.8301024879278098</v>
      </c>
      <c r="C22">
        <v>5.0460940695299499</v>
      </c>
      <c r="D22">
        <v>1.70286634394195</v>
      </c>
      <c r="E22">
        <v>61.174652099609297</v>
      </c>
      <c r="F22">
        <v>16</v>
      </c>
      <c r="G22">
        <v>6.9407407407407398</v>
      </c>
      <c r="H22">
        <v>7</v>
      </c>
      <c r="I22">
        <v>2</v>
      </c>
      <c r="J22">
        <v>12</v>
      </c>
      <c r="K22">
        <v>937</v>
      </c>
      <c r="L22">
        <v>2.3963995473401298</v>
      </c>
      <c r="M22">
        <v>1</v>
      </c>
      <c r="N22">
        <v>3.2863037109460098</v>
      </c>
      <c r="O22">
        <v>1.60333603962002</v>
      </c>
      <c r="P22">
        <v>1.5136174339125601</v>
      </c>
      <c r="Q22">
        <v>64.998067855834904</v>
      </c>
      <c r="R22">
        <v>17</v>
      </c>
      <c r="S22">
        <v>13.3777777777777</v>
      </c>
      <c r="T22">
        <v>13</v>
      </c>
      <c r="U22">
        <v>6</v>
      </c>
      <c r="V22">
        <v>21</v>
      </c>
      <c r="W22">
        <v>1806</v>
      </c>
      <c r="X22">
        <v>3.7553278901034699</v>
      </c>
      <c r="Y22">
        <f t="shared" si="0"/>
        <v>1.0195775349934884</v>
      </c>
      <c r="Z22">
        <f t="shared" si="1"/>
        <v>3.4905751835913112</v>
      </c>
      <c r="AG22">
        <f>AI18</f>
        <v>4.3551295164867465</v>
      </c>
      <c r="AH22">
        <f>AG22/(AD18-AD13)</f>
        <v>0.2278135465333774</v>
      </c>
    </row>
    <row r="23" spans="1:35" x14ac:dyDescent="0.25">
      <c r="A23">
        <v>0</v>
      </c>
      <c r="B23">
        <v>3.72296823668067</v>
      </c>
      <c r="C23">
        <v>5.0527998751028704</v>
      </c>
      <c r="D23">
        <v>1.73419380838879</v>
      </c>
      <c r="E23">
        <v>68.821483612060504</v>
      </c>
      <c r="F23">
        <v>18</v>
      </c>
      <c r="G23">
        <v>3.7185185185185099</v>
      </c>
      <c r="H23">
        <v>4</v>
      </c>
      <c r="I23">
        <v>1</v>
      </c>
      <c r="J23">
        <v>7</v>
      </c>
      <c r="K23">
        <v>502</v>
      </c>
      <c r="L23">
        <v>1.3748913219024099</v>
      </c>
      <c r="M23">
        <v>1</v>
      </c>
      <c r="N23">
        <v>3.30079220915432</v>
      </c>
      <c r="O23">
        <v>1.44878321590502</v>
      </c>
      <c r="P23">
        <v>1.84753512857317</v>
      </c>
      <c r="Q23">
        <v>68.821483612060504</v>
      </c>
      <c r="R23">
        <v>18</v>
      </c>
      <c r="S23">
        <v>14.562962962962899</v>
      </c>
      <c r="T23">
        <v>14</v>
      </c>
      <c r="U23">
        <v>4</v>
      </c>
      <c r="V23">
        <v>27</v>
      </c>
      <c r="W23">
        <v>1966</v>
      </c>
      <c r="X23">
        <v>5.8585406560013702</v>
      </c>
      <c r="Y23">
        <f t="shared" si="0"/>
        <v>1.147024726867675</v>
      </c>
      <c r="Z23">
        <f t="shared" si="1"/>
        <v>3.6304290287588192</v>
      </c>
      <c r="AG23">
        <f>(Z18-Z13)</f>
        <v>0.26182123213730302</v>
      </c>
    </row>
    <row r="24" spans="1:35" x14ac:dyDescent="0.25">
      <c r="A24">
        <v>0</v>
      </c>
      <c r="B24">
        <v>3.6637710581298299</v>
      </c>
      <c r="C24">
        <v>5.18034345199945</v>
      </c>
      <c r="D24">
        <v>1.5972714429766</v>
      </c>
      <c r="E24">
        <v>72.644899368286104</v>
      </c>
      <c r="F24">
        <v>19</v>
      </c>
      <c r="G24">
        <v>7.2296296296296196</v>
      </c>
      <c r="H24">
        <v>7</v>
      </c>
      <c r="I24">
        <v>2</v>
      </c>
      <c r="J24">
        <v>15</v>
      </c>
      <c r="K24">
        <v>976</v>
      </c>
      <c r="L24">
        <v>3.2113156757417598</v>
      </c>
      <c r="Z24">
        <f>AVERAGE(Z5:Z23)</f>
        <v>3.1184589589487821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2023-12-01T02:00:25Z</dcterms:created>
  <dcterms:modified xsi:type="dcterms:W3CDTF">2024-04-10T14:08:13Z</dcterms:modified>
</cp:coreProperties>
</file>