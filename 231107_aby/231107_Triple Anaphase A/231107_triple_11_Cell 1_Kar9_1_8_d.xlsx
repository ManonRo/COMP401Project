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1F97473-D7DC-4586-B2C2-BD0414AA5DCF}" xr6:coauthVersionLast="45" xr6:coauthVersionMax="45" xr10:uidLastSave="{00000000-0000-0000-0000-000000000000}"/>
  <bookViews>
    <workbookView xWindow="915" yWindow="390" windowWidth="27285" windowHeight="14550" xr2:uid="{00000000-000D-0000-FFFF-FFFF00000000}"/>
  </bookViews>
  <sheets>
    <sheet name="231107_triple_11_Cell 1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" i="1" l="1"/>
  <c r="AB7" i="1"/>
  <c r="AB5" i="1"/>
  <c r="AA8" i="1" l="1"/>
  <c r="R8" i="1"/>
  <c r="Q8" i="1"/>
  <c r="AA7" i="1" l="1"/>
  <c r="AA6" i="1"/>
  <c r="Z6" i="1" l="1"/>
  <c r="Z7" i="1"/>
  <c r="Z5" i="1"/>
  <c r="Y5" i="1"/>
  <c r="X6" i="1"/>
  <c r="Y6" i="1"/>
  <c r="X7" i="1"/>
  <c r="Y7" i="1"/>
  <c r="X5" i="1"/>
  <c r="W6" i="1"/>
  <c r="W7" i="1"/>
  <c r="W5" i="1"/>
  <c r="V6" i="1" l="1"/>
  <c r="V7" i="1"/>
  <c r="V5" i="1"/>
  <c r="U5" i="1" l="1"/>
  <c r="T5" i="1"/>
  <c r="S5" i="1" l="1"/>
  <c r="R6" i="1" l="1"/>
  <c r="R7" i="1"/>
  <c r="Q5" i="1"/>
  <c r="Q6" i="1"/>
  <c r="Q7" i="1"/>
</calcChain>
</file>

<file path=xl/sharedStrings.xml><?xml version="1.0" encoding="utf-8"?>
<sst xmlns="http://schemas.openxmlformats.org/spreadsheetml/2006/main" count="33" uniqueCount="25">
  <si>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</si>
  <si>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</si>
  <si>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</si>
  <si>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</si>
  <si>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</si>
  <si>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</si>
  <si>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</si>
  <si>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</si>
  <si>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</si>
  <si>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</si>
  <si>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</si>
  <si>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</si>
  <si>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</si>
  <si>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</si>
  <si>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</si>
  <si>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</si>
  <si>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</si>
  <si>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</si>
  <si>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</si>
  <si>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</si>
  <si>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overall</t>
  </si>
  <si>
    <t>Spindle midpoint</t>
  </si>
  <si>
    <t>Spindle midpoint distance to anchored Kar9</t>
  </si>
  <si>
    <t>Instantaneous mt dpolym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</si>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</sst>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681758530183676E-2"/>
                  <c:y val="0.182209463400408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'231107_triple_11_Cell 1_Kar9_1_'!$D$5:$D$7</c:f>
              <c:numCache>
                <c:formatCode>General</c:formatCode>
                <c:ptCount val="3"/>
                <c:pt idx="0">
                  <c:v>11.465223310000001</c:v>
                </c:pt>
                <c:pt idx="1">
                  <c:v>15.28696442</c:v>
                </c:pt>
                <c:pt idx="2">
                  <c:v>19.108705520000001</c:v>
                </c:pt>
              </c:numCache>
            </c:numRef>
          </c:xVal>
          <c:yVal>
            <c:numRef>
              <c:f>'231107_triple_11_Cell 1_Kar9_1_'!$Q$5:$Q$7</c:f>
              <c:numCache>
                <c:formatCode>General</c:formatCode>
                <c:ptCount val="3"/>
                <c:pt idx="0">
                  <c:v>1.5715740131838618</c:v>
                </c:pt>
                <c:pt idx="1">
                  <c:v>1.3985183155890755</c:v>
                </c:pt>
                <c:pt idx="2">
                  <c:v>1.2553694723319542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1-4B49-8AEF-6FC96A27D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191512"/>
        <c:axId val="522191840"/>
      </c:scatterChart>
      <c:valAx>
        <c:axId val="52219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1840"/>
        <c:crosses val="autoZero"/>
        <c:crossBetween val="midCat"/>
      </c:valAx>
      <c:valAx>
        <c:axId val="5221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1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'231107_triple_11_Cell 1_Kar9_1_'!$D$5:$D$7</c:f>
              <c:numCache>
                <c:formatCode>General</c:formatCode>
                <c:ptCount val="3"/>
                <c:pt idx="0">
                  <c:v>11.465223310000001</c:v>
                </c:pt>
                <c:pt idx="1">
                  <c:v>15.28696442</c:v>
                </c:pt>
                <c:pt idx="2">
                  <c:v>19.108705520000001</c:v>
                </c:pt>
              </c:numCache>
            </c:numRef>
          </c:xVal>
          <c:yVal>
            <c:numRef>
              <c:f>'231107_triple_11_Cell 1_Kar9_1_'!$V$5:$V$7</c:f>
              <c:numCache>
                <c:formatCode>General</c:formatCode>
                <c:ptCount val="3"/>
                <c:pt idx="0">
                  <c:v>4.3813652692104981</c:v>
                </c:pt>
                <c:pt idx="1">
                  <c:v>4.2649420637525619</c:v>
                </c:pt>
                <c:pt idx="2">
                  <c:v>4.180142796513775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F-4284-BEA0-8FBD4832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560896"/>
        <c:axId val="590561224"/>
      </c:scatterChart>
      <c:valAx>
        <c:axId val="59056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61224"/>
        <c:crosses val="autoZero"/>
        <c:crossBetween val="midCat"/>
      </c:valAx>
      <c:valAx>
        <c:axId val="59056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6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'231107_triple_11_Cell 1_Kar9_1_'!$D$5:$D$7</c:f>
              <c:numCache>
                <c:formatCode>General</c:formatCode>
                <c:ptCount val="3"/>
                <c:pt idx="0">
                  <c:v>11.465223310000001</c:v>
                </c:pt>
                <c:pt idx="1">
                  <c:v>15.28696442</c:v>
                </c:pt>
                <c:pt idx="2">
                  <c:v>19.108705520000001</c:v>
                </c:pt>
              </c:numCache>
            </c:numRef>
          </c:xVal>
          <c:yVal>
            <c:numRef>
              <c:f>'231107_triple_11_Cell 1_Kar9_1_'!$Z$5:$Z$7</c:f>
              <c:numCache>
                <c:formatCode>General</c:formatCode>
                <c:ptCount val="3"/>
                <c:pt idx="0">
                  <c:v>2.9708836223891235</c:v>
                </c:pt>
                <c:pt idx="1">
                  <c:v>2.8304342172615864</c:v>
                </c:pt>
                <c:pt idx="2">
                  <c:v>2.7165770359335819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9-4EFB-BAA0-4ACA0915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742232"/>
        <c:axId val="633742888"/>
      </c:scatterChart>
      <c:valAx>
        <c:axId val="63374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42888"/>
        <c:crosses val="autoZero"/>
        <c:crossBetween val="midCat"/>
      </c:valAx>
      <c:valAx>
        <c:axId val="63374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42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21</xdr:row>
      <xdr:rowOff>80962</xdr:rowOff>
    </xdr:from>
    <xdr:to>
      <xdr:col>16</xdr:col>
      <xdr:colOff>542925</xdr:colOff>
      <xdr:row>35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2D6C8-588D-4326-B004-F928DA61F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314325</xdr:colOff>
      <xdr:row>26</xdr:row>
      <xdr:rowOff>71437</xdr:rowOff>
    </xdr:from>
    <xdr:to>
      <xdr:col>9</xdr:col>
      <xdr:colOff>9525</xdr:colOff>
      <xdr:row>40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12428-3DD3-4C30-8F4F-598A9C5A5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20</xdr:row>
      <xdr:rowOff>90487</xdr:rowOff>
    </xdr:from>
    <xdr:to>
      <xdr:col>25</xdr:col>
      <xdr:colOff>57150</xdr:colOff>
      <xdr:row>34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DDAAE0-CA5F-4EF7-B4E2-47217DC8F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B1" workbookViewId="0">
      <selection activeCell="AB5" sqref="AB5:AB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8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W4" t="s">
        <v>21</v>
      </c>
      <c r="Z4" t="s">
        <v>22</v>
      </c>
      <c r="AA4" t="s">
        <v>23</v>
      </c>
      <c r="AB4" t="s">
        <v>24</v>
      </c>
    </row>
    <row r="5" spans="1:28" x14ac:dyDescent="0.25">
      <c r="A5">
        <v>2.1546704280000002</v>
      </c>
      <c r="B5">
        <v>1.4024458820000001</v>
      </c>
      <c r="C5">
        <v>1.1367419780000001</v>
      </c>
      <c r="D5">
        <v>11.465223310000001</v>
      </c>
      <c r="E5">
        <v>3</v>
      </c>
      <c r="F5">
        <v>69</v>
      </c>
      <c r="G5">
        <v>3828</v>
      </c>
      <c r="H5">
        <v>3.068172369</v>
      </c>
      <c r="I5">
        <v>2.5953976239999998</v>
      </c>
      <c r="J5">
        <v>1.5974210680000001</v>
      </c>
      <c r="K5">
        <v>11.465223310000001</v>
      </c>
      <c r="L5">
        <v>3</v>
      </c>
      <c r="M5">
        <v>4.4338054357010099</v>
      </c>
      <c r="N5">
        <v>5.0485577370500199</v>
      </c>
      <c r="O5">
        <v>1.97803478040556</v>
      </c>
      <c r="Q5">
        <f>SQRT((A5-H5)^2+(B5-I5)^2+(C5-J5)^2)</f>
        <v>1.5715740131838618</v>
      </c>
      <c r="S5">
        <f>K7-K5</f>
        <v>7.6434822100000002</v>
      </c>
      <c r="T5">
        <f>Q5-Q7</f>
        <v>0.31620454085190763</v>
      </c>
      <c r="U5">
        <f>SQRT((H5-H7)^2+(I5-I7)^2+(J5-J7)^2)</f>
        <v>0.34323401423891309</v>
      </c>
      <c r="V5">
        <f>SQRT((A5-M5)^2+(B5-N5)^2+(C5-O5)^2)</f>
        <v>4.3813652692104981</v>
      </c>
      <c r="W5">
        <f>AVERAGE(H5,M5)</f>
        <v>3.750988902350505</v>
      </c>
      <c r="X5">
        <f>AVERAGE(I5,N5)</f>
        <v>3.8219776805250101</v>
      </c>
      <c r="Y5">
        <f>AVERAGE(J5,O5)</f>
        <v>1.7877279242027799</v>
      </c>
      <c r="Z5">
        <f>SQRT((A5-W5)^2+(B5-X5)^2+(C5-Y5)^2)</f>
        <v>2.9708836223891235</v>
      </c>
      <c r="AB5">
        <f>D5-D$5</f>
        <v>0</v>
      </c>
    </row>
    <row r="6" spans="1:28" x14ac:dyDescent="0.25">
      <c r="A6">
        <v>2.1995893299999998</v>
      </c>
      <c r="B6">
        <v>1.447767349</v>
      </c>
      <c r="C6">
        <v>1.249633657</v>
      </c>
      <c r="D6">
        <v>15.28696442</v>
      </c>
      <c r="E6">
        <v>4</v>
      </c>
      <c r="F6">
        <v>124</v>
      </c>
      <c r="G6">
        <v>6561</v>
      </c>
      <c r="H6">
        <v>2.9666288399999998</v>
      </c>
      <c r="I6">
        <v>2.6059309650000002</v>
      </c>
      <c r="J6">
        <v>1.411376996</v>
      </c>
      <c r="K6">
        <v>15.28696442</v>
      </c>
      <c r="L6">
        <v>4</v>
      </c>
      <c r="M6">
        <v>4.3123408674646502</v>
      </c>
      <c r="N6">
        <v>5.0949382688032703</v>
      </c>
      <c r="O6">
        <v>1.9009062802908101</v>
      </c>
      <c r="Q6">
        <f>SQRT((A6-H6)^2+(B6-I6)^2+(C6-J6)^2)</f>
        <v>1.3985183155890755</v>
      </c>
      <c r="R6">
        <f t="shared" ref="R6:R8" si="0">SQRT((A5-A6)^2+(B5-B6)^2+(C5-C6)^2)</f>
        <v>0.12967757830618468</v>
      </c>
      <c r="V6">
        <f t="shared" ref="V6:V7" si="1">SQRT((A6-M6)^2+(B6-N6)^2+(C6-O6)^2)</f>
        <v>4.2649420637525619</v>
      </c>
      <c r="W6">
        <f t="shared" ref="W6:W7" si="2">AVERAGE(H6,M6)</f>
        <v>3.6394848537323252</v>
      </c>
      <c r="X6">
        <f t="shared" ref="X6:X7" si="3">AVERAGE(I6,N6)</f>
        <v>3.8504346169016355</v>
      </c>
      <c r="Y6">
        <f t="shared" ref="Y6:Y7" si="4">AVERAGE(J6,O6)</f>
        <v>1.656141638145405</v>
      </c>
      <c r="Z6">
        <f t="shared" ref="Z6:Z7" si="5">SQRT((A6-W6)^2+(B6-X6)^2+(C6-Y6)^2)</f>
        <v>2.8304342172615864</v>
      </c>
      <c r="AA6">
        <f>(Q5-Q6)/(D6-D5)*60</f>
        <v>2.7169139815666847</v>
      </c>
      <c r="AB6">
        <f t="shared" ref="AB6:AB7" si="6">D6-D$5</f>
        <v>3.8217411099999996</v>
      </c>
    </row>
    <row r="7" spans="1:28" x14ac:dyDescent="0.25">
      <c r="A7">
        <v>2.1292776459999998</v>
      </c>
      <c r="B7">
        <v>1.365663769</v>
      </c>
      <c r="C7">
        <v>1.328171239</v>
      </c>
      <c r="D7">
        <v>19.108705520000001</v>
      </c>
      <c r="E7">
        <v>5</v>
      </c>
      <c r="F7">
        <v>70</v>
      </c>
      <c r="G7">
        <v>3742</v>
      </c>
      <c r="H7">
        <v>2.8325182949999999</v>
      </c>
      <c r="I7">
        <v>2.3991862899999998</v>
      </c>
      <c r="J7">
        <v>1.44322036</v>
      </c>
      <c r="K7">
        <v>19.108705520000001</v>
      </c>
      <c r="L7">
        <v>5</v>
      </c>
      <c r="M7">
        <v>4.2724913104662798</v>
      </c>
      <c r="N7">
        <v>4.9477394118178202</v>
      </c>
      <c r="O7">
        <v>1.5494472585374199</v>
      </c>
      <c r="Q7">
        <f>SQRT((A7-H7)^2+(B7-I7)^2+(C7-J7)^2)</f>
        <v>1.2553694723319542</v>
      </c>
      <c r="R7">
        <f t="shared" si="0"/>
        <v>0.13361467936622456</v>
      </c>
      <c r="V7">
        <f t="shared" si="1"/>
        <v>4.180142796513775</v>
      </c>
      <c r="W7">
        <f t="shared" si="2"/>
        <v>3.5525048027331398</v>
      </c>
      <c r="X7">
        <f t="shared" si="3"/>
        <v>3.6734628509089102</v>
      </c>
      <c r="Y7">
        <f t="shared" si="4"/>
        <v>1.49633380926871</v>
      </c>
      <c r="Z7">
        <f t="shared" si="5"/>
        <v>2.7165770359335819</v>
      </c>
      <c r="AA7">
        <f>(Q6-Q7)/(D7-D6)*60</f>
        <v>2.2473868246667141</v>
      </c>
      <c r="AB7">
        <f t="shared" si="6"/>
        <v>7.6434822100000002</v>
      </c>
    </row>
    <row r="8" spans="1:28" s="1" customFormat="1" x14ac:dyDescent="0.25">
      <c r="A8" s="1">
        <v>2.1756696190000002</v>
      </c>
      <c r="B8" s="1">
        <v>1.6670899210000001</v>
      </c>
      <c r="C8" s="1">
        <v>1.3757251850000001</v>
      </c>
      <c r="D8" s="1">
        <v>22.930446620000001</v>
      </c>
      <c r="F8" s="1">
        <v>50</v>
      </c>
      <c r="G8" s="1">
        <v>2862</v>
      </c>
      <c r="H8" s="1">
        <v>2.8297304470000002</v>
      </c>
      <c r="I8" s="1">
        <v>2.4185902860000001</v>
      </c>
      <c r="J8" s="1">
        <v>1.583522458</v>
      </c>
      <c r="K8" s="1">
        <v>22.930446620000001</v>
      </c>
      <c r="L8" s="1">
        <v>6</v>
      </c>
      <c r="Q8">
        <f>SQRT((A8-H8)^2+(B8-I8)^2+(C8-J8)^2)</f>
        <v>1.0177072624214762</v>
      </c>
      <c r="R8">
        <f t="shared" si="0"/>
        <v>0.30866052233567359</v>
      </c>
      <c r="AA8">
        <f>(Q7-Q8)/(D8-D7)*60</f>
        <v>3.7312136593001219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231107_triple_11_Cell 1_Kar9_1_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2024-05-27T01:20:29Z</dcterms:created>
  <dcterms:modified xsi:type="dcterms:W3CDTF">2024-06-17T18:52:48Z</dcterms:modified>
</cp:coreProperties>
</file>