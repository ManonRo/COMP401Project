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A\"/>
    </mc:Choice>
  </mc:AlternateContent>
  <xr:revisionPtr revIDLastSave="0" documentId="13_ncr:1_{26B0EC96-0C78-42EB-93BA-6E71A7C4C8CE}" xr6:coauthVersionLast="45" xr6:coauthVersionMax="45" xr10:uidLastSave="{00000000-0000-0000-0000-000000000000}"/>
  <bookViews>
    <workbookView xWindow="1590" yWindow="375" windowWidth="27285" windowHeight="14550" xr2:uid="{00000000-000D-0000-FFFF-FFFF00000000}"/>
  </bookViews>
  <sheets>
    <sheet name="231107_triple_13_Cell 6_Kar9_7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7" i="1" l="1"/>
  <c r="L18" i="1"/>
  <c r="L19" i="1"/>
  <c r="L16" i="1"/>
  <c r="K16" i="1"/>
  <c r="K17" i="1"/>
  <c r="K18" i="1"/>
  <c r="K19" i="1"/>
  <c r="K15" i="1"/>
</calcChain>
</file>

<file path=xl/sharedStrings.xml><?xml version="1.0" encoding="utf-8"?>
<sst xmlns="http://schemas.openxmlformats.org/spreadsheetml/2006/main" count="34" uniqueCount="24">
  <si>
    <t>TRACK_ID</t>
  </si>
  <si>
    <t>POSITION_X</t>
  </si>
  <si>
    <t>POSITION_Y</t>
  </si>
  <si>
    <t>POSITION_Z</t>
  </si>
  <si>
    <t>POSITION_T</t>
  </si>
  <si>
    <t>FRAME</t>
  </si>
  <si>
    <t>MIN_INTENSITY_CH2</t>
  </si>
  <si>
    <t>MAX_INTENSITY_CH2</t>
  </si>
  <si>
    <t>TOTAL_INTENSITY_CH2</t>
  </si>
  <si>
    <t>Track ID</t>
  </si>
  <si>
    <t>X</t>
  </si>
  <si>
    <t>Y</t>
  </si>
  <si>
    <t>Z</t>
  </si>
  <si>
    <t>T</t>
  </si>
  <si>
    <t>Frame</t>
  </si>
  <si>
    <t>Min intensity ch2</t>
  </si>
  <si>
    <t>Max intensity ch2</t>
  </si>
  <si>
    <t>Sum intensity ch2</t>
  </si>
  <si>
    <t>Min ch2</t>
  </si>
  <si>
    <t>Max ch2</t>
  </si>
  <si>
    <t>Sum ch2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</si>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</sst>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'231107_triple_13_Cell 6_Kar9_7_'!$E$15:$E$19</c:f>
              <c:numCache>
                <c:formatCode>General</c:formatCode>
                <c:ptCount val="5"/>
                <c:pt idx="0">
                  <c:v>7.6468315124511701</c:v>
                </c:pt>
                <c:pt idx="1">
                  <c:v>11.470247268676699</c:v>
                </c:pt>
                <c:pt idx="2">
                  <c:v>15.293663024902299</c:v>
                </c:pt>
                <c:pt idx="3">
                  <c:v>19.117078781127901</c:v>
                </c:pt>
                <c:pt idx="4">
                  <c:v>22.940494537353501</c:v>
                </c:pt>
              </c:numCache>
            </c:numRef>
          </c:xVal>
          <c:yVal>
            <c:numRef>
              <c:f>'231107_triple_13_Cell 6_Kar9_7_'!$K$15:$K$19</c:f>
              <c:numCache>
                <c:formatCode>General</c:formatCode>
                <c:ptCount val="5"/>
                <c:pt idx="0">
                  <c:v>1.9056836006982056</c:v>
                </c:pt>
                <c:pt idx="1">
                  <c:v>1.7272920736573678</c:v>
                </c:pt>
                <c:pt idx="2">
                  <c:v>1.5402321386510873</c:v>
                </c:pt>
                <c:pt idx="3">
                  <c:v>1.1727951760531841</c:v>
                </c:pt>
                <c:pt idx="4">
                  <c:v>1.2292680000003342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4C-40F8-994C-BFCD96F4E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363816"/>
        <c:axId val="656364144"/>
      </c:scatterChart>
      <c:valAx>
        <c:axId val="656363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364144"/>
        <c:crosses val="autoZero"/>
        <c:crossBetween val="midCat"/>
      </c:valAx>
      <c:valAx>
        <c:axId val="65636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363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'231107_triple_13_Cell 6_Kar9_7_'!$E$15:$E$19</c:f>
              <c:numCache>
                <c:formatCode>General</c:formatCode>
                <c:ptCount val="5"/>
                <c:pt idx="0">
                  <c:v>7.6468315124511701</c:v>
                </c:pt>
                <c:pt idx="1">
                  <c:v>11.470247268676699</c:v>
                </c:pt>
                <c:pt idx="2">
                  <c:v>15.293663024902299</c:v>
                </c:pt>
                <c:pt idx="3">
                  <c:v>19.117078781127901</c:v>
                </c:pt>
                <c:pt idx="4">
                  <c:v>22.940494537353501</c:v>
                </c:pt>
              </c:numCache>
            </c:numRef>
          </c:xVal>
          <c:yVal>
            <c:numRef>
              <c:f>'231107_triple_13_Cell 6_Kar9_7_'!$L$15:$L$19</c:f>
              <c:numCache>
                <c:formatCode>General</c:formatCode>
                <c:ptCount val="5"/>
                <c:pt idx="1">
                  <c:v>2.6741604082351437E-2</c:v>
                </c:pt>
                <c:pt idx="2">
                  <c:v>8.3662923427705899E-2</c:v>
                </c:pt>
                <c:pt idx="3">
                  <c:v>0.12085192778603228</c:v>
                </c:pt>
                <c:pt idx="4">
                  <c:v>4.5927796205344325E-2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17-45BF-9812-97EAD8D16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617760"/>
        <c:axId val="521618088"/>
      </c:scatterChart>
      <c:valAx>
        <c:axId val="52161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18088"/>
        <c:crosses val="autoZero"/>
        <c:crossBetween val="midCat"/>
      </c:valAx>
      <c:valAx>
        <c:axId val="521618088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17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504825</xdr:colOff>
      <xdr:row>8</xdr:row>
      <xdr:rowOff>33337</xdr:rowOff>
    </xdr:from>
    <xdr:to>
      <xdr:col>16</xdr:col>
      <xdr:colOff>428625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474B67-7675-46AD-9677-3760597363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504825</xdr:colOff>
      <xdr:row>21</xdr:row>
      <xdr:rowOff>109537</xdr:rowOff>
    </xdr:from>
    <xdr:to>
      <xdr:col>16</xdr:col>
      <xdr:colOff>419100</xdr:colOff>
      <xdr:row>29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3ED812-B478-45A9-9347-3655D9B56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L29" sqref="L29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2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19</v>
      </c>
      <c r="I3" t="s">
        <v>20</v>
      </c>
    </row>
    <row r="4" spans="1:12" x14ac:dyDescent="0.25">
      <c r="B4" t="s">
        <v>21</v>
      </c>
      <c r="C4" t="s">
        <v>21</v>
      </c>
      <c r="D4" t="s">
        <v>21</v>
      </c>
      <c r="E4" t="s">
        <v>22</v>
      </c>
      <c r="G4" t="s">
        <v>23</v>
      </c>
      <c r="H4" t="s">
        <v>23</v>
      </c>
      <c r="I4" t="s">
        <v>23</v>
      </c>
    </row>
    <row r="5" spans="1:12" x14ac:dyDescent="0.25">
      <c r="A5">
        <v>0</v>
      </c>
      <c r="B5">
        <v>5.7127381584946599</v>
      </c>
      <c r="C5">
        <v>7.3355368181160898</v>
      </c>
      <c r="D5">
        <v>1.6525460905187099</v>
      </c>
      <c r="E5">
        <v>0</v>
      </c>
      <c r="F5">
        <v>0</v>
      </c>
      <c r="G5">
        <v>7</v>
      </c>
      <c r="H5">
        <v>25</v>
      </c>
      <c r="I5">
        <v>1432</v>
      </c>
    </row>
    <row r="6" spans="1:12" x14ac:dyDescent="0.25">
      <c r="A6">
        <v>0</v>
      </c>
      <c r="B6">
        <v>5.7740704241181602</v>
      </c>
      <c r="C6">
        <v>7.3973584172638098</v>
      </c>
      <c r="D6">
        <v>1.47865139714736</v>
      </c>
      <c r="E6">
        <v>3.8234157562255802</v>
      </c>
      <c r="F6">
        <v>1</v>
      </c>
      <c r="G6">
        <v>13</v>
      </c>
      <c r="H6">
        <v>40</v>
      </c>
      <c r="I6">
        <v>2231</v>
      </c>
    </row>
    <row r="7" spans="1:12" x14ac:dyDescent="0.25">
      <c r="A7">
        <v>0</v>
      </c>
      <c r="B7">
        <v>5.7729102286958298</v>
      </c>
      <c r="C7">
        <v>7.1992335908115601</v>
      </c>
      <c r="D7">
        <v>1.73087366686669</v>
      </c>
      <c r="E7">
        <v>7.6468315124511701</v>
      </c>
      <c r="F7">
        <v>2</v>
      </c>
      <c r="G7">
        <v>4</v>
      </c>
      <c r="H7">
        <v>11</v>
      </c>
      <c r="I7">
        <v>613</v>
      </c>
    </row>
    <row r="8" spans="1:12" x14ac:dyDescent="0.25">
      <c r="A8">
        <v>0</v>
      </c>
      <c r="B8">
        <v>5.7908630472516096</v>
      </c>
      <c r="C8">
        <v>7.0179322757284304</v>
      </c>
      <c r="D8">
        <v>1.7901786413377001</v>
      </c>
      <c r="E8">
        <v>11.470247268676699</v>
      </c>
      <c r="F8">
        <v>3</v>
      </c>
      <c r="G8">
        <v>27</v>
      </c>
      <c r="H8">
        <v>68</v>
      </c>
      <c r="I8">
        <v>3686</v>
      </c>
    </row>
    <row r="9" spans="1:12" x14ac:dyDescent="0.25">
      <c r="A9">
        <v>0</v>
      </c>
      <c r="B9">
        <v>5.6925751214593898</v>
      </c>
      <c r="C9">
        <v>7.1537620445171104</v>
      </c>
      <c r="D9">
        <v>1.6128831216005599</v>
      </c>
      <c r="E9">
        <v>15.293663024902299</v>
      </c>
      <c r="F9">
        <v>4</v>
      </c>
      <c r="G9">
        <v>16</v>
      </c>
      <c r="H9">
        <v>39</v>
      </c>
      <c r="I9">
        <v>2276</v>
      </c>
    </row>
    <row r="10" spans="1:12" x14ac:dyDescent="0.25">
      <c r="A10">
        <v>0</v>
      </c>
      <c r="B10">
        <v>5.6418545055400298</v>
      </c>
      <c r="C10">
        <v>7.4036735021610598</v>
      </c>
      <c r="D10">
        <v>1.44422379251985</v>
      </c>
      <c r="E10">
        <v>19.117078781127901</v>
      </c>
      <c r="F10">
        <v>5</v>
      </c>
      <c r="G10">
        <v>10</v>
      </c>
      <c r="H10">
        <v>20</v>
      </c>
      <c r="I10">
        <v>1279</v>
      </c>
    </row>
    <row r="11" spans="1:12" x14ac:dyDescent="0.25">
      <c r="A11">
        <v>0</v>
      </c>
      <c r="B11">
        <v>5.6912333612016397</v>
      </c>
      <c r="C11">
        <v>7.4116559512149101</v>
      </c>
      <c r="D11">
        <v>1.50483483728503</v>
      </c>
      <c r="E11">
        <v>22.940494537353501</v>
      </c>
      <c r="F11">
        <v>6</v>
      </c>
      <c r="G11">
        <v>6</v>
      </c>
      <c r="H11">
        <v>17</v>
      </c>
      <c r="I11">
        <v>973</v>
      </c>
    </row>
    <row r="12" spans="1:12" x14ac:dyDescent="0.25">
      <c r="A12">
        <v>2</v>
      </c>
      <c r="B12">
        <v>5.9792965223044297</v>
      </c>
      <c r="C12">
        <v>6.5713751204235802</v>
      </c>
      <c r="D12">
        <v>2.0189862582468301</v>
      </c>
      <c r="E12">
        <v>0</v>
      </c>
      <c r="F12">
        <v>0</v>
      </c>
      <c r="G12">
        <v>11</v>
      </c>
      <c r="H12">
        <v>29</v>
      </c>
      <c r="I12">
        <v>1529</v>
      </c>
    </row>
    <row r="13" spans="1:12" x14ac:dyDescent="0.25">
      <c r="A13">
        <v>2</v>
      </c>
      <c r="B13">
        <v>5.9006367739832299</v>
      </c>
      <c r="C13">
        <v>6.5560775258347697</v>
      </c>
      <c r="D13">
        <v>1.9276532679524701</v>
      </c>
      <c r="E13">
        <v>3.8234157562255802</v>
      </c>
      <c r="F13">
        <v>1</v>
      </c>
      <c r="G13">
        <v>15</v>
      </c>
      <c r="H13">
        <v>57</v>
      </c>
      <c r="I13">
        <v>3012</v>
      </c>
    </row>
    <row r="14" spans="1:12" x14ac:dyDescent="0.25">
      <c r="A14">
        <v>2</v>
      </c>
      <c r="B14">
        <v>5.9085615369175404</v>
      </c>
      <c r="C14">
        <v>6.7069746089086602</v>
      </c>
      <c r="D14">
        <v>1.8846370690661201</v>
      </c>
      <c r="E14">
        <v>7.6468315124511701</v>
      </c>
      <c r="F14">
        <v>2</v>
      </c>
      <c r="G14">
        <v>12</v>
      </c>
      <c r="H14">
        <v>34</v>
      </c>
      <c r="I14">
        <v>1953</v>
      </c>
    </row>
    <row r="15" spans="1:12" x14ac:dyDescent="0.25">
      <c r="A15">
        <v>6</v>
      </c>
      <c r="B15">
        <v>5.5880586102431904</v>
      </c>
      <c r="C15">
        <v>7.6472293774207296</v>
      </c>
      <c r="D15">
        <v>1.2671811330521701</v>
      </c>
      <c r="E15">
        <v>7.6468315124511701</v>
      </c>
      <c r="F15">
        <v>2</v>
      </c>
      <c r="G15">
        <v>12</v>
      </c>
      <c r="H15">
        <v>36</v>
      </c>
      <c r="I15">
        <v>1973</v>
      </c>
      <c r="K15">
        <f>SQRT((B15-B24)^2+(C15-C24)^2+(D15-D24)^2)</f>
        <v>1.9056836006982056</v>
      </c>
    </row>
    <row r="16" spans="1:12" x14ac:dyDescent="0.25">
      <c r="A16">
        <v>6</v>
      </c>
      <c r="B16">
        <v>5.5643195847843199</v>
      </c>
      <c r="C16">
        <v>7.6525102464937902</v>
      </c>
      <c r="D16">
        <v>1.2560597805717599</v>
      </c>
      <c r="E16">
        <v>11.470247268676699</v>
      </c>
      <c r="F16">
        <v>3</v>
      </c>
      <c r="G16">
        <v>20</v>
      </c>
      <c r="H16">
        <v>53</v>
      </c>
      <c r="I16">
        <v>2963</v>
      </c>
      <c r="K16">
        <f t="shared" ref="K16:K19" si="0">SQRT((B16-B25)^2+(C16-C25)^2+(D16-D25)^2)</f>
        <v>1.7272920736573678</v>
      </c>
      <c r="L16">
        <f>SQRT((B15-B16)^2+(C15-C16)^2+(D15-D16)^2)</f>
        <v>2.6741604082351437E-2</v>
      </c>
    </row>
    <row r="17" spans="1:12" x14ac:dyDescent="0.25">
      <c r="A17">
        <v>6</v>
      </c>
      <c r="B17">
        <v>5.4848952345233899</v>
      </c>
      <c r="C17">
        <v>7.6333766813029804</v>
      </c>
      <c r="D17">
        <v>1.23802747552808</v>
      </c>
      <c r="E17">
        <v>15.293663024902299</v>
      </c>
      <c r="F17">
        <v>4</v>
      </c>
      <c r="G17">
        <v>20</v>
      </c>
      <c r="H17">
        <v>53</v>
      </c>
      <c r="I17">
        <v>2820</v>
      </c>
      <c r="K17">
        <f t="shared" si="0"/>
        <v>1.5402321386510873</v>
      </c>
      <c r="L17">
        <f t="shared" ref="L17:L19" si="1">SQRT((B16-B17)^2+(C16-C17)^2+(D16-D17)^2)</f>
        <v>8.3662923427705899E-2</v>
      </c>
    </row>
    <row r="18" spans="1:12" x14ac:dyDescent="0.25">
      <c r="A18">
        <v>6</v>
      </c>
      <c r="B18">
        <v>5.5751111402758697</v>
      </c>
      <c r="C18">
        <v>7.5599188750124302</v>
      </c>
      <c r="D18">
        <v>1.2707418377233</v>
      </c>
      <c r="E18">
        <v>19.117078781127901</v>
      </c>
      <c r="F18">
        <v>5</v>
      </c>
      <c r="G18">
        <v>9</v>
      </c>
      <c r="H18">
        <v>20</v>
      </c>
      <c r="I18">
        <v>1177</v>
      </c>
      <c r="K18">
        <f t="shared" si="0"/>
        <v>1.1727951760531841</v>
      </c>
      <c r="L18">
        <f t="shared" si="1"/>
        <v>0.12085192778603228</v>
      </c>
    </row>
    <row r="19" spans="1:12" x14ac:dyDescent="0.25">
      <c r="A19">
        <v>6</v>
      </c>
      <c r="B19">
        <v>5.6106780643771996</v>
      </c>
      <c r="C19">
        <v>7.5589175213195396</v>
      </c>
      <c r="D19">
        <v>1.2417012856446701</v>
      </c>
      <c r="E19">
        <v>22.940494537353501</v>
      </c>
      <c r="F19">
        <v>6</v>
      </c>
      <c r="G19">
        <v>8</v>
      </c>
      <c r="H19">
        <v>19</v>
      </c>
      <c r="I19">
        <v>1147</v>
      </c>
      <c r="K19">
        <f t="shared" si="0"/>
        <v>1.2292680000003342</v>
      </c>
      <c r="L19">
        <f t="shared" si="1"/>
        <v>4.5927796205344325E-2</v>
      </c>
    </row>
    <row r="22" spans="1:12" x14ac:dyDescent="0.25">
      <c r="B22">
        <v>6.0920434908778196</v>
      </c>
      <c r="C22">
        <v>5.9197569752502703</v>
      </c>
      <c r="D22">
        <v>2.4166892566278202</v>
      </c>
      <c r="E22">
        <v>22.940494537353501</v>
      </c>
      <c r="F22">
        <v>6</v>
      </c>
    </row>
    <row r="23" spans="1:12" x14ac:dyDescent="0.25">
      <c r="B23">
        <v>6.0431704323467397</v>
      </c>
      <c r="C23">
        <v>5.8975082957531004</v>
      </c>
      <c r="D23">
        <v>2.2313584363814001</v>
      </c>
      <c r="E23">
        <v>26.763910293579102</v>
      </c>
      <c r="F23">
        <v>7</v>
      </c>
    </row>
    <row r="24" spans="1:12" x14ac:dyDescent="0.25">
      <c r="B24">
        <v>6.0890447743152096</v>
      </c>
      <c r="C24">
        <v>6.0505410170437797</v>
      </c>
      <c r="D24">
        <v>2.1788988137051502</v>
      </c>
      <c r="E24">
        <v>30.587326049804599</v>
      </c>
      <c r="F24">
        <v>8</v>
      </c>
    </row>
    <row r="25" spans="1:12" x14ac:dyDescent="0.25">
      <c r="B25">
        <v>6.0215702318645601</v>
      </c>
      <c r="C25">
        <v>6.3183638840344898</v>
      </c>
      <c r="D25">
        <v>2.2533126256421001</v>
      </c>
      <c r="E25">
        <v>34.410741806030202</v>
      </c>
      <c r="F25">
        <v>9</v>
      </c>
    </row>
    <row r="26" spans="1:12" x14ac:dyDescent="0.25">
      <c r="B26">
        <v>6.0068161154507997</v>
      </c>
      <c r="C26">
        <v>6.4633432985486401</v>
      </c>
      <c r="D26">
        <v>2.0929751454039001</v>
      </c>
      <c r="E26">
        <v>38.234157562255803</v>
      </c>
      <c r="F26">
        <v>10</v>
      </c>
    </row>
    <row r="27" spans="1:12" x14ac:dyDescent="0.25">
      <c r="B27">
        <v>5.8170516686770899</v>
      </c>
      <c r="C27">
        <v>6.68115401606586</v>
      </c>
      <c r="D27">
        <v>2.0087700406879101</v>
      </c>
      <c r="E27">
        <v>42.057573318481403</v>
      </c>
      <c r="F27">
        <v>11</v>
      </c>
    </row>
    <row r="28" spans="1:12" x14ac:dyDescent="0.25">
      <c r="B28">
        <v>5.9145605952398999</v>
      </c>
      <c r="C28">
        <v>6.6416547856068702</v>
      </c>
      <c r="D28">
        <v>2.00155936248153</v>
      </c>
      <c r="E28">
        <v>45.880989074707003</v>
      </c>
      <c r="F28">
        <v>12</v>
      </c>
    </row>
    <row r="29" spans="1:12" x14ac:dyDescent="0.25">
      <c r="B29">
        <v>6.10838963026481</v>
      </c>
      <c r="C29">
        <v>6.3314848287374597</v>
      </c>
      <c r="D29">
        <v>2.4001818713820602</v>
      </c>
      <c r="E29">
        <v>49.704404830932603</v>
      </c>
      <c r="F29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231107_triple_13_Cell 6_Kar9_7_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2024-05-25T18:24:33Z</dcterms:created>
  <dcterms:modified xsi:type="dcterms:W3CDTF">2024-06-12T19:46:09Z</dcterms:modified>
</cp:coreProperties>
</file>