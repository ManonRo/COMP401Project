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D5386B08-3DA3-40DC-89CC-AAE712E5C70F}" xr6:coauthVersionLast="45" xr6:coauthVersionMax="45" xr10:uidLastSave="{00000000-0000-0000-0000-000000000000}"/>
  <bookViews>
    <workbookView xWindow="1260" yWindow="0" windowWidth="27285" windowHeight="14550" xr2:uid="{00000000-000D-0000-FFFF-FFFF00000000}"/>
  </bookViews>
  <sheets>
    <sheet name="231107_triple_13_Cell 5_Kar9_4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6" i="1" l="1"/>
  <c r="AB7" i="1"/>
  <c r="AB8" i="1"/>
  <c r="AB9" i="1"/>
  <c r="AB10" i="1"/>
  <c r="AB5" i="1"/>
  <c r="AA11" i="1" l="1"/>
  <c r="Q11" i="1"/>
  <c r="AA7" i="1" l="1"/>
  <c r="AA8" i="1"/>
  <c r="AA9" i="1"/>
  <c r="AA10" i="1"/>
  <c r="AA6" i="1"/>
  <c r="Z6" i="1" l="1"/>
  <c r="Z7" i="1"/>
  <c r="Z8" i="1"/>
  <c r="Z9" i="1"/>
  <c r="Z10" i="1"/>
  <c r="Z5" i="1"/>
  <c r="Y6" i="1"/>
  <c r="Y7" i="1"/>
  <c r="Y8" i="1"/>
  <c r="Y9" i="1"/>
  <c r="Y10" i="1"/>
  <c r="Y5" i="1"/>
  <c r="X6" i="1"/>
  <c r="X7" i="1"/>
  <c r="X8" i="1"/>
  <c r="X9" i="1"/>
  <c r="X10" i="1"/>
  <c r="X5" i="1"/>
  <c r="W6" i="1"/>
  <c r="W7" i="1"/>
  <c r="W8" i="1"/>
  <c r="W9" i="1"/>
  <c r="W10" i="1"/>
  <c r="W5" i="1"/>
  <c r="V6" i="1" l="1"/>
  <c r="V7" i="1"/>
  <c r="V8" i="1"/>
  <c r="V9" i="1"/>
  <c r="V10" i="1"/>
  <c r="V5" i="1"/>
  <c r="U5" i="1" l="1"/>
  <c r="T5" i="1"/>
  <c r="S5" i="1" l="1"/>
  <c r="R6" i="1" l="1"/>
  <c r="R7" i="1"/>
  <c r="R8" i="1"/>
  <c r="R9" i="1"/>
  <c r="R10" i="1"/>
  <c r="Q5" i="1" l="1"/>
  <c r="Q6" i="1"/>
  <c r="Q7" i="1"/>
  <c r="Q8" i="1"/>
  <c r="Q9" i="1"/>
  <c r="Q10" i="1"/>
</calcChain>
</file>

<file path=xl/sharedStrings.xml><?xml version="1.0" encoding="utf-8"?>
<sst xmlns="http://schemas.openxmlformats.org/spreadsheetml/2006/main" count="33" uniqueCount="25">
  <si>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</si>
  <si>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</si>
  <si>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</si>
  <si>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</si>
  <si>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</si>
  <si>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</si>
  <si>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</si>
  <si>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</si>
  <si>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</si>
  <si>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</si>
  <si>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</si>
  <si>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</si>
  <si>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</si>
  <si>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</si>
  <si>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</si>
  <si>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</si>
  <si>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</si>
  <si>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</si>
  <si>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</si>
  <si>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>mt length change overall</t>
  </si>
  <si>
    <t>SPB movement overall</t>
  </si>
  <si>
    <t>Spindle midpoint</t>
  </si>
  <si>
    <t>Spindle midpoint distance to anchored Kar9</t>
  </si>
  <si>
    <t>Instantaneous mt depolym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</si>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</sst>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4040520215871888E-2"/>
                  <c:y val="0.120147699299375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5_Kar9_4_'!$D$5:$D$10</c:f>
              <c:numCache>
                <c:formatCode>General</c:formatCode>
                <c:ptCount val="6"/>
                <c:pt idx="0">
                  <c:v>19.117078781127901</c:v>
                </c:pt>
                <c:pt idx="1">
                  <c:v>22.940494537353501</c:v>
                </c:pt>
                <c:pt idx="2">
                  <c:v>26.763910293579102</c:v>
                </c:pt>
                <c:pt idx="3">
                  <c:v>30.587326049804599</c:v>
                </c:pt>
                <c:pt idx="4">
                  <c:v>34.410741806030202</c:v>
                </c:pt>
                <c:pt idx="5">
                  <c:v>38.234157562255803</c:v>
                </c:pt>
              </c:numCache>
            </c:numRef>
          </c:xVal>
          <c:yVal>
            <c:numRef>
              <c:f>'231107_triple_13_Cell 5_Kar9_4_'!$Q$5:$Q$10</c:f>
              <c:numCache>
                <c:formatCode>General</c:formatCode>
                <c:ptCount val="6"/>
                <c:pt idx="0">
                  <c:v>1.7443451260464737</c:v>
                </c:pt>
                <c:pt idx="1">
                  <c:v>1.6004958614037321</c:v>
                </c:pt>
                <c:pt idx="2">
                  <c:v>1.4466021190654028</c:v>
                </c:pt>
                <c:pt idx="3">
                  <c:v>1.2787323501416095</c:v>
                </c:pt>
                <c:pt idx="4">
                  <c:v>1.2043354609139647</c:v>
                </c:pt>
                <c:pt idx="5">
                  <c:v>1.138654000811625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A-474C-B974-7179540C9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255120"/>
        <c:axId val="623255448"/>
      </c:scatterChart>
      <c:valAx>
        <c:axId val="62325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55448"/>
        <c:crosses val="autoZero"/>
        <c:crossBetween val="midCat"/>
      </c:valAx>
      <c:valAx>
        <c:axId val="62325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5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'231107_triple_13_Cell 5_Kar9_4_'!$D$5:$D$10</c:f>
              <c:numCache>
                <c:formatCode>General</c:formatCode>
                <c:ptCount val="6"/>
                <c:pt idx="0">
                  <c:v>19.117078781127901</c:v>
                </c:pt>
                <c:pt idx="1">
                  <c:v>22.940494537353501</c:v>
                </c:pt>
                <c:pt idx="2">
                  <c:v>26.763910293579102</c:v>
                </c:pt>
                <c:pt idx="3">
                  <c:v>30.587326049804599</c:v>
                </c:pt>
                <c:pt idx="4">
                  <c:v>34.410741806030202</c:v>
                </c:pt>
                <c:pt idx="5">
                  <c:v>38.234157562255803</c:v>
                </c:pt>
              </c:numCache>
            </c:numRef>
          </c:xVal>
          <c:yVal>
            <c:numRef>
              <c:f>'231107_triple_13_Cell 5_Kar9_4_'!$R$5:$R$10</c:f>
              <c:numCache>
                <c:formatCode>General</c:formatCode>
                <c:ptCount val="6"/>
                <c:pt idx="1">
                  <c:v>0.13995763077842377</c:v>
                </c:pt>
                <c:pt idx="2">
                  <c:v>2.133110126957986E-2</c:v>
                </c:pt>
                <c:pt idx="3">
                  <c:v>0.19517365985017154</c:v>
                </c:pt>
                <c:pt idx="4">
                  <c:v>2.3086113717606136E-2</c:v>
                </c:pt>
                <c:pt idx="5">
                  <c:v>0.15522022428690305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4-41FA-8C27-5B4567B29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681744"/>
        <c:axId val="389019816"/>
      </c:scatterChart>
      <c:valAx>
        <c:axId val="37968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19816"/>
        <c:crosses val="autoZero"/>
        <c:crossBetween val="midCat"/>
      </c:valAx>
      <c:valAx>
        <c:axId val="38901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8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'231107_triple_13_Cell 5_Kar9_4_'!$A$5:$A$10</c:f>
              <c:numCache>
                <c:formatCode>General</c:formatCode>
                <c:ptCount val="6"/>
                <c:pt idx="0">
                  <c:v>3.1806814794829998</c:v>
                </c:pt>
                <c:pt idx="1">
                  <c:v>3.1926807130517898</c:v>
                </c:pt>
                <c:pt idx="2">
                  <c:v>3.2015466028783601</c:v>
                </c:pt>
                <c:pt idx="3">
                  <c:v>3.1638195592617002</c:v>
                </c:pt>
                <c:pt idx="4">
                  <c:v>3.1718967965460201</c:v>
                </c:pt>
                <c:pt idx="5">
                  <c:v>3.1974076279717498</c:v>
                </c:pt>
              </c:numCache>
            </c:numRef>
          </c:xVal>
          <c:yVal>
            <c:numRef>
              <c:f>'231107_triple_13_Cell 5_Kar9_4_'!$B$5:$B$10</c:f>
              <c:numCache>
                <c:formatCode>General</c:formatCode>
                <c:ptCount val="6"/>
                <c:pt idx="0">
                  <c:v>1.24030867462091</c:v>
                </c:pt>
                <c:pt idx="1">
                  <c:v>1.1274546970780499</c:v>
                </c:pt>
                <c:pt idx="2">
                  <c:v>1.11188818548803</c:v>
                </c:pt>
                <c:pt idx="3">
                  <c:v>1.28394265429423</c:v>
                </c:pt>
                <c:pt idx="4">
                  <c:v>1.29904892494288</c:v>
                </c:pt>
                <c:pt idx="5">
                  <c:v>1.1896573284004399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80-4B41-A1CE-1C9FA7323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546744"/>
        <c:axId val="512547072"/>
      </c:scatterChart>
      <c:valAx>
        <c:axId val="51254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547072"/>
        <c:crosses val="autoZero"/>
        <c:crossBetween val="midCat"/>
      </c:valAx>
      <c:valAx>
        <c:axId val="51254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54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5_Kar9_4_'!$D$5:$D$10</c:f>
              <c:numCache>
                <c:formatCode>General</c:formatCode>
                <c:ptCount val="6"/>
                <c:pt idx="0">
                  <c:v>19.117078781127901</c:v>
                </c:pt>
                <c:pt idx="1">
                  <c:v>22.940494537353501</c:v>
                </c:pt>
                <c:pt idx="2">
                  <c:v>26.763910293579102</c:v>
                </c:pt>
                <c:pt idx="3">
                  <c:v>30.587326049804599</c:v>
                </c:pt>
                <c:pt idx="4">
                  <c:v>34.410741806030202</c:v>
                </c:pt>
                <c:pt idx="5">
                  <c:v>38.234157562255803</c:v>
                </c:pt>
              </c:numCache>
            </c:numRef>
          </c:xVal>
          <c:yVal>
            <c:numRef>
              <c:f>'231107_triple_13_Cell 5_Kar9_4_'!$V$5:$V$10</c:f>
              <c:numCache>
                <c:formatCode>General</c:formatCode>
                <c:ptCount val="6"/>
                <c:pt idx="0">
                  <c:v>4.5477281631230904</c:v>
                </c:pt>
                <c:pt idx="1">
                  <c:v>4.5038467296197489</c:v>
                </c:pt>
                <c:pt idx="2">
                  <c:v>4.4814278996024157</c:v>
                </c:pt>
                <c:pt idx="3">
                  <c:v>4.34029454356115</c:v>
                </c:pt>
                <c:pt idx="4">
                  <c:v>4.3532591123237374</c:v>
                </c:pt>
                <c:pt idx="5">
                  <c:v>4.3548494482838525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1-465D-A3A1-D5B5D3A35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374592"/>
        <c:axId val="665374920"/>
      </c:scatterChart>
      <c:valAx>
        <c:axId val="66537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74920"/>
        <c:crosses val="autoZero"/>
        <c:crossBetween val="midCat"/>
      </c:valAx>
      <c:valAx>
        <c:axId val="66537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7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5_Kar9_4_'!$D$5:$D$10</c:f>
              <c:numCache>
                <c:formatCode>General</c:formatCode>
                <c:ptCount val="6"/>
                <c:pt idx="0">
                  <c:v>19.117078781127901</c:v>
                </c:pt>
                <c:pt idx="1">
                  <c:v>22.940494537353501</c:v>
                </c:pt>
                <c:pt idx="2">
                  <c:v>26.763910293579102</c:v>
                </c:pt>
                <c:pt idx="3">
                  <c:v>30.587326049804599</c:v>
                </c:pt>
                <c:pt idx="4">
                  <c:v>34.410741806030202</c:v>
                </c:pt>
                <c:pt idx="5">
                  <c:v>38.234157562255803</c:v>
                </c:pt>
              </c:numCache>
            </c:numRef>
          </c:xVal>
          <c:yVal>
            <c:numRef>
              <c:f>'231107_triple_13_Cell 5_Kar9_4_'!$Z$5:$Z$10</c:f>
              <c:numCache>
                <c:formatCode>General</c:formatCode>
                <c:ptCount val="6"/>
                <c:pt idx="0">
                  <c:v>3.0709219053644987</c:v>
                </c:pt>
                <c:pt idx="1">
                  <c:v>2.9862350786221898</c:v>
                </c:pt>
                <c:pt idx="2">
                  <c:v>2.9191542368400403</c:v>
                </c:pt>
                <c:pt idx="3">
                  <c:v>2.7570463990695577</c:v>
                </c:pt>
                <c:pt idx="4">
                  <c:v>2.7235922734090607</c:v>
                </c:pt>
                <c:pt idx="5">
                  <c:v>2.6969385812927618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0-4531-A7A5-8D673B2F6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589000"/>
        <c:axId val="633589328"/>
      </c:scatterChart>
      <c:valAx>
        <c:axId val="63358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89328"/>
        <c:crosses val="autoZero"/>
        <c:crossBetween val="midCat"/>
      </c:valAx>
      <c:valAx>
        <c:axId val="6335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89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114300</xdr:colOff>
      <xdr:row>12</xdr:row>
      <xdr:rowOff>4762</xdr:rowOff>
    </xdr:from>
    <xdr:to>
      <xdr:col>18</xdr:col>
      <xdr:colOff>219075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C8537-A65E-437E-8A57-4CCB297E8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581024</xdr:colOff>
      <xdr:row>19</xdr:row>
      <xdr:rowOff>85724</xdr:rowOff>
    </xdr:from>
    <xdr:to>
      <xdr:col>18</xdr:col>
      <xdr:colOff>285749</xdr:colOff>
      <xdr:row>29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6F37D9-0BEC-4160-BCF2-B470E9939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47625</xdr:colOff>
      <xdr:row>12</xdr:row>
      <xdr:rowOff>119062</xdr:rowOff>
    </xdr:from>
    <xdr:to>
      <xdr:col>13</xdr:col>
      <xdr:colOff>466724</xdr:colOff>
      <xdr:row>21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86E0EA-A797-4F12-82EB-6209E3F2D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161925</xdr:colOff>
      <xdr:row>16</xdr:row>
      <xdr:rowOff>138112</xdr:rowOff>
    </xdr:from>
    <xdr:to>
      <xdr:col>11</xdr:col>
      <xdr:colOff>466725</xdr:colOff>
      <xdr:row>31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379CCB-E40D-4629-B73A-9D8E26F56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180975</xdr:colOff>
      <xdr:row>17</xdr:row>
      <xdr:rowOff>4762</xdr:rowOff>
    </xdr:from>
    <xdr:to>
      <xdr:col>22</xdr:col>
      <xdr:colOff>485775</xdr:colOff>
      <xdr:row>31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79A5C6-54CE-4DC0-945D-19ECE054A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topLeftCell="B1" workbookViewId="0">
      <selection activeCell="I15" sqref="I1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28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28" x14ac:dyDescent="0.25">
      <c r="A4" t="s">
        <v>16</v>
      </c>
      <c r="B4" t="s">
        <v>16</v>
      </c>
      <c r="C4" t="s">
        <v>16</v>
      </c>
      <c r="D4" t="s">
        <v>17</v>
      </c>
      <c r="F4" t="s">
        <v>18</v>
      </c>
      <c r="G4" t="s">
        <v>18</v>
      </c>
      <c r="T4" t="s">
        <v>19</v>
      </c>
      <c r="U4" t="s">
        <v>20</v>
      </c>
      <c r="W4" t="s">
        <v>21</v>
      </c>
      <c r="Z4" t="s">
        <v>22</v>
      </c>
      <c r="AA4" t="s">
        <v>23</v>
      </c>
      <c r="AB4" t="s">
        <v>24</v>
      </c>
    </row>
    <row r="5" spans="1:28" x14ac:dyDescent="0.25">
      <c r="A5">
        <v>3.1806814794829998</v>
      </c>
      <c r="B5">
        <v>1.24030867462091</v>
      </c>
      <c r="C5">
        <v>1.51847048674458</v>
      </c>
      <c r="D5">
        <v>19.117078781127901</v>
      </c>
      <c r="E5">
        <v>5</v>
      </c>
      <c r="F5">
        <v>58</v>
      </c>
      <c r="G5">
        <v>3206</v>
      </c>
      <c r="H5">
        <v>3.7022297662444101</v>
      </c>
      <c r="I5">
        <v>2.86202254568602</v>
      </c>
      <c r="J5">
        <v>1.8936656675949499</v>
      </c>
      <c r="K5">
        <v>30.587326049804599</v>
      </c>
      <c r="L5">
        <v>8</v>
      </c>
      <c r="M5">
        <v>2.61308319706824</v>
      </c>
      <c r="N5">
        <v>5.7520973323703997</v>
      </c>
      <c r="O5">
        <v>1.4599320953608701</v>
      </c>
      <c r="Q5">
        <f t="shared" ref="Q5:Q11" si="0">SQRT((A5-H5)^2+(B5-I5)^2+(C5-J5)^2)</f>
        <v>1.7443451260464737</v>
      </c>
      <c r="S5">
        <f>K10-K5</f>
        <v>19.117078781128004</v>
      </c>
      <c r="T5">
        <f>Q5-Q10</f>
        <v>0.60569112523484869</v>
      </c>
      <c r="U5">
        <f>SQRT((H5-H10)^2+(I5-I10)^2+(J5-J10)^2)</f>
        <v>0.7626226400615056</v>
      </c>
      <c r="V5">
        <f>SQRT((A5-M5)^2+(B5-N5)^2+(C5-O5)^2)</f>
        <v>4.5477281631230904</v>
      </c>
      <c r="W5">
        <f>AVERAGE(H5,M5)</f>
        <v>3.1576564816563248</v>
      </c>
      <c r="X5">
        <f>AVERAGE(I5,N5)</f>
        <v>4.3070599390282096</v>
      </c>
      <c r="Y5">
        <f>AVERAGE(J5,O5)</f>
        <v>1.67679888147791</v>
      </c>
      <c r="Z5">
        <f>SQRT((A5-W5)^2+(B5-X5)^2+(C5-Y5)^2)</f>
        <v>3.0709219053644987</v>
      </c>
      <c r="AB5">
        <f>D5-D$5</f>
        <v>0</v>
      </c>
    </row>
    <row r="6" spans="1:28" x14ac:dyDescent="0.25">
      <c r="A6">
        <v>3.1926807130517898</v>
      </c>
      <c r="B6">
        <v>1.1274546970780499</v>
      </c>
      <c r="C6">
        <v>1.4365672721579299</v>
      </c>
      <c r="D6">
        <v>22.940494537353501</v>
      </c>
      <c r="E6">
        <v>6</v>
      </c>
      <c r="F6">
        <v>15</v>
      </c>
      <c r="G6">
        <v>937</v>
      </c>
      <c r="H6">
        <v>3.6361048303433199</v>
      </c>
      <c r="I6">
        <v>2.5986144630433201</v>
      </c>
      <c r="J6">
        <v>1.8845081137650701</v>
      </c>
      <c r="K6">
        <v>34.410741806030202</v>
      </c>
      <c r="L6">
        <v>9</v>
      </c>
      <c r="M6">
        <v>2.9118208333865598</v>
      </c>
      <c r="N6">
        <v>5.6196520723008998</v>
      </c>
      <c r="O6">
        <v>1.2755833166161601</v>
      </c>
      <c r="Q6">
        <f t="shared" si="0"/>
        <v>1.6004958614037321</v>
      </c>
      <c r="R6">
        <f t="shared" ref="R6:R10" si="1">SQRT((A5-A6)^2+(B5-B6)^2+(C5-C6)^2)</f>
        <v>0.13995763077842377</v>
      </c>
      <c r="V6">
        <f t="shared" ref="V6:V10" si="2">SQRT((A6-M6)^2+(B6-N6)^2+(C6-O6)^2)</f>
        <v>4.5038467296197489</v>
      </c>
      <c r="W6">
        <f t="shared" ref="W6:W10" si="3">AVERAGE(H6,M6)</f>
        <v>3.2739628318649396</v>
      </c>
      <c r="X6">
        <f t="shared" ref="X6:X10" si="4">AVERAGE(I6,N6)</f>
        <v>4.1091332676721102</v>
      </c>
      <c r="Y6">
        <f t="shared" ref="Y6:Y10" si="5">AVERAGE(J6,O6)</f>
        <v>1.5800457151906151</v>
      </c>
      <c r="Z6">
        <f t="shared" ref="Z6:Z10" si="6">SQRT((A6-W6)^2+(B6-X6)^2+(C6-Y6)^2)</f>
        <v>2.9862350786221898</v>
      </c>
      <c r="AA6">
        <f>(Q5-Q6)/(D6-D5)*60</f>
        <v>2.2573940237890331</v>
      </c>
      <c r="AB6">
        <f t="shared" ref="AB6:AB10" si="7">D6-D$5</f>
        <v>3.8234157562256001</v>
      </c>
    </row>
    <row r="7" spans="1:28" x14ac:dyDescent="0.25">
      <c r="A7">
        <v>3.2015466028783601</v>
      </c>
      <c r="B7">
        <v>1.11188818548803</v>
      </c>
      <c r="C7">
        <v>1.44814723743741</v>
      </c>
      <c r="D7">
        <v>26.763910293579102</v>
      </c>
      <c r="E7">
        <v>7</v>
      </c>
      <c r="F7">
        <v>106</v>
      </c>
      <c r="G7">
        <v>5989</v>
      </c>
      <c r="H7">
        <v>3.6171562833686801</v>
      </c>
      <c r="I7">
        <v>2.4667726898506999</v>
      </c>
      <c r="J7">
        <v>1.7383441778161299</v>
      </c>
      <c r="K7">
        <v>38.234157562255803</v>
      </c>
      <c r="L7">
        <v>10</v>
      </c>
      <c r="M7">
        <v>3.0046838353743199</v>
      </c>
      <c r="N7">
        <v>5.5879681861752903</v>
      </c>
      <c r="O7">
        <v>1.3524973678447201</v>
      </c>
      <c r="Q7">
        <f t="shared" si="0"/>
        <v>1.4466021190654028</v>
      </c>
      <c r="R7">
        <f t="shared" si="1"/>
        <v>2.133110126957986E-2</v>
      </c>
      <c r="V7">
        <f t="shared" si="2"/>
        <v>4.4814278996024157</v>
      </c>
      <c r="W7">
        <f t="shared" si="3"/>
        <v>3.3109200593715</v>
      </c>
      <c r="X7">
        <f t="shared" si="4"/>
        <v>4.0273704380129951</v>
      </c>
      <c r="Y7">
        <f t="shared" si="5"/>
        <v>1.545420772830425</v>
      </c>
      <c r="Z7">
        <f t="shared" si="6"/>
        <v>2.9191542368400403</v>
      </c>
      <c r="AA7">
        <f t="shared" ref="AA7:AA11" si="8">(Q6-Q7)/(D7-D6)*60</f>
        <v>2.4150197438677212</v>
      </c>
      <c r="AB7">
        <f t="shared" si="7"/>
        <v>7.6468315124512003</v>
      </c>
    </row>
    <row r="8" spans="1:28" x14ac:dyDescent="0.25">
      <c r="A8">
        <v>3.1638195592617002</v>
      </c>
      <c r="B8">
        <v>1.28394265429423</v>
      </c>
      <c r="C8">
        <v>1.36408364577566</v>
      </c>
      <c r="D8">
        <v>30.587326049804599</v>
      </c>
      <c r="E8">
        <v>8</v>
      </c>
      <c r="F8">
        <v>99</v>
      </c>
      <c r="G8">
        <v>5353</v>
      </c>
      <c r="H8">
        <v>3.5678317325202999</v>
      </c>
      <c r="I8">
        <v>2.4333481585269001</v>
      </c>
      <c r="J8">
        <v>1.75241027890451</v>
      </c>
      <c r="K8">
        <v>42.057573318481403</v>
      </c>
      <c r="L8">
        <v>11</v>
      </c>
      <c r="M8">
        <v>3.0248689750640199</v>
      </c>
      <c r="N8">
        <v>5.6209603507580503</v>
      </c>
      <c r="O8">
        <v>1.45961877322873</v>
      </c>
      <c r="Q8">
        <f t="shared" si="0"/>
        <v>1.2787323501416095</v>
      </c>
      <c r="R8">
        <f t="shared" si="1"/>
        <v>0.19517365985017154</v>
      </c>
      <c r="V8">
        <f t="shared" si="2"/>
        <v>4.34029454356115</v>
      </c>
      <c r="W8">
        <f t="shared" si="3"/>
        <v>3.2963503537921599</v>
      </c>
      <c r="X8">
        <f t="shared" si="4"/>
        <v>4.0271542546424755</v>
      </c>
      <c r="Y8">
        <f t="shared" si="5"/>
        <v>1.6060145260666201</v>
      </c>
      <c r="Z8">
        <f t="shared" si="6"/>
        <v>2.7570463990695577</v>
      </c>
      <c r="AA8">
        <f t="shared" si="8"/>
        <v>2.6343423727925765</v>
      </c>
      <c r="AB8">
        <f t="shared" si="7"/>
        <v>11.470247268676697</v>
      </c>
    </row>
    <row r="9" spans="1:28" x14ac:dyDescent="0.25">
      <c r="A9">
        <v>3.1718967965460201</v>
      </c>
      <c r="B9">
        <v>1.29904892494288</v>
      </c>
      <c r="C9">
        <v>1.3486069706958901</v>
      </c>
      <c r="D9">
        <v>34.410741806030202</v>
      </c>
      <c r="E9">
        <v>9</v>
      </c>
      <c r="F9">
        <v>86</v>
      </c>
      <c r="G9">
        <v>4737</v>
      </c>
      <c r="H9">
        <v>3.5745361834235498</v>
      </c>
      <c r="I9">
        <v>2.3419798966546401</v>
      </c>
      <c r="J9">
        <v>1.7964913472866599</v>
      </c>
      <c r="K9">
        <v>45.880989074707003</v>
      </c>
      <c r="L9">
        <v>12</v>
      </c>
      <c r="M9">
        <v>3.1582127866228999</v>
      </c>
      <c r="N9">
        <v>5.6456570222944604</v>
      </c>
      <c r="O9">
        <v>1.5887646167114899</v>
      </c>
      <c r="Q9">
        <f t="shared" si="0"/>
        <v>1.2043354609139647</v>
      </c>
      <c r="R9">
        <f t="shared" si="1"/>
        <v>2.3086113717606136E-2</v>
      </c>
      <c r="V9">
        <f t="shared" si="2"/>
        <v>4.3532591123237374</v>
      </c>
      <c r="W9">
        <f t="shared" si="3"/>
        <v>3.3663744850232247</v>
      </c>
      <c r="X9">
        <f t="shared" si="4"/>
        <v>3.9938184594745501</v>
      </c>
      <c r="Y9">
        <f t="shared" si="5"/>
        <v>1.6926279819990748</v>
      </c>
      <c r="Z9">
        <f t="shared" si="6"/>
        <v>2.7235922734090607</v>
      </c>
      <c r="AA9">
        <f t="shared" si="8"/>
        <v>1.1674935812016605</v>
      </c>
      <c r="AB9">
        <f t="shared" si="7"/>
        <v>15.293663024902301</v>
      </c>
    </row>
    <row r="10" spans="1:28" x14ac:dyDescent="0.25">
      <c r="A10">
        <v>3.1974076279717498</v>
      </c>
      <c r="B10">
        <v>1.1896573284004399</v>
      </c>
      <c r="C10">
        <v>1.2414809042435999</v>
      </c>
      <c r="D10">
        <v>38.234157562255803</v>
      </c>
      <c r="E10">
        <v>10</v>
      </c>
      <c r="F10">
        <v>76</v>
      </c>
      <c r="G10">
        <v>4226</v>
      </c>
      <c r="H10">
        <v>3.4846578530745398</v>
      </c>
      <c r="I10">
        <v>2.1364963800932801</v>
      </c>
      <c r="J10">
        <v>1.80496653132926</v>
      </c>
      <c r="K10">
        <v>49.704404830932603</v>
      </c>
      <c r="L10">
        <v>13</v>
      </c>
      <c r="M10">
        <v>3.4077184961748501</v>
      </c>
      <c r="N10">
        <v>5.5147384188858499</v>
      </c>
      <c r="O10">
        <v>1.7042514917482099</v>
      </c>
      <c r="Q10">
        <f t="shared" si="0"/>
        <v>1.138654000811625</v>
      </c>
      <c r="R10">
        <f t="shared" si="1"/>
        <v>0.15522022428690305</v>
      </c>
      <c r="V10">
        <f t="shared" si="2"/>
        <v>4.3548494482838525</v>
      </c>
      <c r="W10">
        <f t="shared" si="3"/>
        <v>3.446188174624695</v>
      </c>
      <c r="X10">
        <f t="shared" si="4"/>
        <v>3.8256173994895653</v>
      </c>
      <c r="Y10">
        <f t="shared" si="5"/>
        <v>1.7546090115387349</v>
      </c>
      <c r="Z10">
        <f t="shared" si="6"/>
        <v>2.6969385812927618</v>
      </c>
      <c r="AA10">
        <f t="shared" si="8"/>
        <v>1.0307243201902649</v>
      </c>
      <c r="AB10">
        <f t="shared" si="7"/>
        <v>19.117078781127901</v>
      </c>
    </row>
    <row r="11" spans="1:28" s="1" customFormat="1" x14ac:dyDescent="0.25">
      <c r="A11" s="1">
        <v>3.1744622771387498</v>
      </c>
      <c r="B11" s="1">
        <v>1.05752493532473</v>
      </c>
      <c r="C11" s="1">
        <v>1.4473485920340301</v>
      </c>
      <c r="D11" s="1">
        <v>42.057573318481403</v>
      </c>
      <c r="F11" s="1">
        <v>98</v>
      </c>
      <c r="G11" s="1">
        <v>5600</v>
      </c>
      <c r="H11" s="1">
        <v>3.3608014220145002</v>
      </c>
      <c r="I11" s="1">
        <v>1.96445726206367</v>
      </c>
      <c r="J11" s="1">
        <v>1.7094304953473001</v>
      </c>
      <c r="K11" s="1">
        <v>53.527820587158203</v>
      </c>
      <c r="L11" s="1">
        <v>14</v>
      </c>
      <c r="Q11">
        <f t="shared" si="0"/>
        <v>0.96225539553771244</v>
      </c>
      <c r="AA11">
        <f t="shared" si="8"/>
        <v>2.7681834755221564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5_Kar9_4_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2024-05-25T17:09:25Z</dcterms:created>
  <dcterms:modified xsi:type="dcterms:W3CDTF">2024-06-17T18:53:58Z</dcterms:modified>
</cp:coreProperties>
</file>