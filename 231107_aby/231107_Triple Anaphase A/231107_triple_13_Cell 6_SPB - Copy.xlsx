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5FA6D04-99AC-4625-96CF-7D9218C1E470}" xr6:coauthVersionLast="45" xr6:coauthVersionMax="45" xr10:uidLastSave="{00000000-0000-0000-0000-000000000000}"/>
  <bookViews>
    <workbookView xWindow="31785" yWindow="795" windowWidth="23790" windowHeight="13980" xr2:uid="{00000000-000D-0000-FFFF-FFFF00000000}"/>
  </bookViews>
  <sheets>
    <sheet name="231107_triple_13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4" i="1" l="1"/>
  <c r="AI15" i="1"/>
  <c r="AI16" i="1"/>
  <c r="AI17" i="1"/>
  <c r="AI13" i="1"/>
  <c r="AH14" i="1"/>
  <c r="AH15" i="1"/>
  <c r="AH16" i="1"/>
  <c r="AH17" i="1"/>
  <c r="AH13" i="1"/>
  <c r="Z24" i="1" l="1"/>
  <c r="Z6" i="1" l="1"/>
  <c r="Z7" i="1"/>
  <c r="Z8" i="1"/>
  <c r="Z9" i="1"/>
  <c r="Z10" i="1"/>
  <c r="Z11" i="1"/>
  <c r="Z12" i="1"/>
  <c r="Z13" i="1"/>
  <c r="Z14" i="1"/>
  <c r="Z15" i="1"/>
  <c r="Z16" i="1"/>
  <c r="Z17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<sst xmlns="http://schemas.openxmlformats.org/spreadsheetml/2006/main" count="46" uniqueCount="33">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</sst>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7">
                  <c:v>1.0833011309305818</c:v>
                </c:pt>
                <c:pt idx="18">
                  <c:v>1.147024726867675</c:v>
                </c:pt>
              </c:numCache>
            </c:numRef>
          </c:xVal>
          <c:yVal>
            <c:numRef>
              <c:f>'231107_triple_13_Cell 6_SPB'!$Z$5:$Z$23</c:f>
              <c:numCache>
                <c:formatCode>General</c:formatCode>
                <c:ptCount val="19"/>
                <c:pt idx="0">
                  <c:v>4.9342716162937936</c:v>
                </c:pt>
                <c:pt idx="1">
                  <c:v>5.0547953524478952</c:v>
                </c:pt>
                <c:pt idx="2">
                  <c:v>4.997428098787843</c:v>
                </c:pt>
                <c:pt idx="3">
                  <c:v>4.9714232268519511</c:v>
                </c:pt>
                <c:pt idx="4">
                  <c:v>5.0648790162628874</c:v>
                </c:pt>
                <c:pt idx="5">
                  <c:v>5.0439751930894081</c:v>
                </c:pt>
                <c:pt idx="6">
                  <c:v>5.1157131516444778</c:v>
                </c:pt>
                <c:pt idx="7">
                  <c:v>5.0750451177482976</c:v>
                </c:pt>
                <c:pt idx="8">
                  <c:v>5.1202641181251289</c:v>
                </c:pt>
                <c:pt idx="9">
                  <c:v>5.1775213469507495</c:v>
                </c:pt>
                <c:pt idx="10">
                  <c:v>5.1321420578758161</c:v>
                </c:pt>
                <c:pt idx="11">
                  <c:v>5.1289620661711783</c:v>
                </c:pt>
                <c:pt idx="12">
                  <c:v>5.1346127814798983</c:v>
                </c:pt>
                <c:pt idx="17">
                  <c:v>5.1886179622958695</c:v>
                </c:pt>
                <c:pt idx="18">
                  <c:v>5.1981686737947026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4-47D2-BE38-F925359F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296192"/>
        <c:axId val="674296520"/>
      </c:scatterChart>
      <c:valAx>
        <c:axId val="6742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96520"/>
        <c:crosses val="autoZero"/>
        <c:crossBetween val="midCat"/>
      </c:valAx>
      <c:valAx>
        <c:axId val="67429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6_SPB'!$AD$13:$AD$17</c:f>
              <c:numCache>
                <c:formatCode>General</c:formatCode>
                <c:ptCount val="5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</c:numCache>
            </c:numRef>
          </c:xVal>
          <c:yVal>
            <c:numRef>
              <c:f>'231107_triple_13_Cell 6_SPB'!$AH$13:$AH$17</c:f>
              <c:numCache>
                <c:formatCode>General</c:formatCode>
                <c:ptCount val="5"/>
                <c:pt idx="0">
                  <c:v>1.9056836006982056</c:v>
                </c:pt>
                <c:pt idx="1">
                  <c:v>1.7272920736573678</c:v>
                </c:pt>
                <c:pt idx="2">
                  <c:v>1.5402321386510873</c:v>
                </c:pt>
                <c:pt idx="3">
                  <c:v>1.1727951760531841</c:v>
                </c:pt>
                <c:pt idx="4">
                  <c:v>1.2292680000003342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B-4272-A8A1-FA147971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25296"/>
        <c:axId val="567225624"/>
      </c:scatterChart>
      <c:valAx>
        <c:axId val="56722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5624"/>
        <c:crosses val="autoZero"/>
        <c:crossBetween val="midCat"/>
      </c:valAx>
      <c:valAx>
        <c:axId val="56722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977945135550585"/>
                  <c:y val="6.1245678217688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6_SPB'!$AD$13:$AD$17</c:f>
              <c:numCache>
                <c:formatCode>General</c:formatCode>
                <c:ptCount val="5"/>
                <c:pt idx="0">
                  <c:v>30.587326049804599</c:v>
                </c:pt>
                <c:pt idx="1">
                  <c:v>34.410741806030202</c:v>
                </c:pt>
                <c:pt idx="2">
                  <c:v>38.234157562255803</c:v>
                </c:pt>
                <c:pt idx="3">
                  <c:v>42.057573318481403</c:v>
                </c:pt>
                <c:pt idx="4">
                  <c:v>45.880989074707003</c:v>
                </c:pt>
              </c:numCache>
            </c:numRef>
          </c:xVal>
          <c:yVal>
            <c:numRef>
              <c:f>'231107_triple_13_Cell 6_SPB'!$AI$13:$AI$17</c:f>
              <c:numCache>
                <c:formatCode>General</c:formatCode>
                <c:ptCount val="5"/>
                <c:pt idx="0">
                  <c:v>5.7154700703398307</c:v>
                </c:pt>
                <c:pt idx="1">
                  <c:v>5.6855922791451592</c:v>
                </c:pt>
                <c:pt idx="2">
                  <c:v>5.5778771943458079</c:v>
                </c:pt>
                <c:pt idx="3">
                  <c:v>5.6606108313654122</c:v>
                </c:pt>
                <c:pt idx="4">
                  <c:v>5.6305003746229279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8-439F-8702-BECB415E8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737704"/>
        <c:axId val="609738032"/>
      </c:scatterChart>
      <c:valAx>
        <c:axId val="60973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38032"/>
        <c:crosses val="autoZero"/>
        <c:crossBetween val="midCat"/>
      </c:valAx>
      <c:valAx>
        <c:axId val="6097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37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</xdr:colOff>
      <xdr:row>15</xdr:row>
      <xdr:rowOff>76200</xdr:rowOff>
    </xdr:from>
    <xdr:to>
      <xdr:col>15</xdr:col>
      <xdr:colOff>361950</xdr:colOff>
      <xdr:row>23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58592-3F33-4A58-AF0A-E250BAAD6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495300</xdr:colOff>
      <xdr:row>14</xdr:row>
      <xdr:rowOff>42862</xdr:rowOff>
    </xdr:from>
    <xdr:to>
      <xdr:col>23</xdr:col>
      <xdr:colOff>333375</xdr:colOff>
      <xdr:row>27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7D458-2D19-4D6A-AD94-23E855CC4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166687</xdr:colOff>
      <xdr:row>18</xdr:row>
      <xdr:rowOff>80962</xdr:rowOff>
    </xdr:from>
    <xdr:to>
      <xdr:col>32</xdr:col>
      <xdr:colOff>266700</xdr:colOff>
      <xdr:row>28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26BCF2-6871-4EFE-AC19-5B1866474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"/>
  <sheetViews>
    <sheetView tabSelected="1" topLeftCell="S1" workbookViewId="0">
      <selection activeCell="AG6" sqref="AG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5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5" x14ac:dyDescent="0.25">
      <c r="A5">
        <v>0</v>
      </c>
      <c r="B5">
        <v>2.1892435138985098</v>
      </c>
      <c r="C5">
        <v>3.1622102459954502</v>
      </c>
      <c r="D5">
        <v>1.27918569830117</v>
      </c>
      <c r="E5">
        <v>0</v>
      </c>
      <c r="F5">
        <v>0</v>
      </c>
      <c r="G5">
        <v>14.688888888888799</v>
      </c>
      <c r="H5">
        <v>14</v>
      </c>
      <c r="I5">
        <v>6</v>
      </c>
      <c r="J5">
        <v>24</v>
      </c>
      <c r="K5">
        <v>1983</v>
      </c>
      <c r="L5">
        <v>4.6174016513565501</v>
      </c>
      <c r="M5">
        <v>1</v>
      </c>
      <c r="N5">
        <v>5.7779578953449304</v>
      </c>
      <c r="O5">
        <v>6.3568171317209199</v>
      </c>
      <c r="P5">
        <v>2.4028637293392499</v>
      </c>
      <c r="Q5">
        <v>0</v>
      </c>
      <c r="R5">
        <v>0</v>
      </c>
      <c r="S5">
        <v>68.851851851851805</v>
      </c>
      <c r="T5">
        <v>67</v>
      </c>
      <c r="U5">
        <v>25</v>
      </c>
      <c r="V5">
        <v>116</v>
      </c>
      <c r="W5">
        <v>9295</v>
      </c>
      <c r="X5">
        <v>23.097947999095702</v>
      </c>
      <c r="Y5">
        <f>E5/60</f>
        <v>0</v>
      </c>
      <c r="Z5">
        <f>SQRT((B5-N5)^2+(C5-O5)^2+(D5-P5)^2)</f>
        <v>4.9342716162937936</v>
      </c>
    </row>
    <row r="6" spans="1:35" x14ac:dyDescent="0.25">
      <c r="A6">
        <v>0</v>
      </c>
      <c r="B6">
        <v>2.0700396827362502</v>
      </c>
      <c r="C6">
        <v>3.3405999163089901</v>
      </c>
      <c r="D6">
        <v>1.0473832422380001</v>
      </c>
      <c r="E6">
        <v>3.8234157562255802</v>
      </c>
      <c r="F6">
        <v>1</v>
      </c>
      <c r="G6">
        <v>11.214814814814799</v>
      </c>
      <c r="H6">
        <v>11</v>
      </c>
      <c r="I6">
        <v>5</v>
      </c>
      <c r="J6">
        <v>18</v>
      </c>
      <c r="K6">
        <v>1514</v>
      </c>
      <c r="L6">
        <v>3.3732600494140499</v>
      </c>
      <c r="M6">
        <v>1</v>
      </c>
      <c r="N6">
        <v>5.8315537111752196</v>
      </c>
      <c r="O6">
        <v>6.3733152432700404</v>
      </c>
      <c r="P6">
        <v>2.5321748150189101</v>
      </c>
      <c r="Q6">
        <v>3.8234157562255802</v>
      </c>
      <c r="R6">
        <v>1</v>
      </c>
      <c r="S6">
        <v>56.837037037037</v>
      </c>
      <c r="T6">
        <v>55</v>
      </c>
      <c r="U6">
        <v>19</v>
      </c>
      <c r="V6">
        <v>96</v>
      </c>
      <c r="W6">
        <v>7673</v>
      </c>
      <c r="X6">
        <v>19.7106711788186</v>
      </c>
      <c r="Y6">
        <f t="shared" ref="Y6:Y23" si="0">E6/60</f>
        <v>6.3723595937093008E-2</v>
      </c>
      <c r="Z6">
        <f t="shared" ref="Z6:Z23" si="1">SQRT((B6-N6)^2+(C6-O6)^2+(D6-P6)^2)</f>
        <v>5.0547953524478952</v>
      </c>
    </row>
    <row r="7" spans="1:35" x14ac:dyDescent="0.25">
      <c r="A7">
        <v>0</v>
      </c>
      <c r="B7">
        <v>2.1523388840920701</v>
      </c>
      <c r="C7">
        <v>3.32697590074776</v>
      </c>
      <c r="D7">
        <v>1.07503206558701</v>
      </c>
      <c r="E7">
        <v>7.6468315124511701</v>
      </c>
      <c r="F7">
        <v>2</v>
      </c>
      <c r="G7">
        <v>13.9037037037037</v>
      </c>
      <c r="H7">
        <v>14</v>
      </c>
      <c r="I7">
        <v>6</v>
      </c>
      <c r="J7">
        <v>21</v>
      </c>
      <c r="K7">
        <v>1877</v>
      </c>
      <c r="L7">
        <v>3.6729630847588202</v>
      </c>
      <c r="M7">
        <v>1</v>
      </c>
      <c r="N7">
        <v>5.8807676851089301</v>
      </c>
      <c r="O7">
        <v>6.2944521178887998</v>
      </c>
      <c r="P7">
        <v>2.5807515544044199</v>
      </c>
      <c r="Q7">
        <v>7.6468315124511701</v>
      </c>
      <c r="R7">
        <v>2</v>
      </c>
      <c r="S7">
        <v>55.1703703703703</v>
      </c>
      <c r="T7">
        <v>51</v>
      </c>
      <c r="U7">
        <v>25</v>
      </c>
      <c r="V7">
        <v>91</v>
      </c>
      <c r="W7">
        <v>7448</v>
      </c>
      <c r="X7">
        <v>16.854752968317101</v>
      </c>
      <c r="Y7">
        <f t="shared" si="0"/>
        <v>0.12744719187418616</v>
      </c>
      <c r="Z7">
        <f t="shared" si="1"/>
        <v>4.997428098787843</v>
      </c>
    </row>
    <row r="8" spans="1:35" x14ac:dyDescent="0.25">
      <c r="A8">
        <v>0</v>
      </c>
      <c r="B8">
        <v>2.0618291213022402</v>
      </c>
      <c r="C8">
        <v>3.33616846704279</v>
      </c>
      <c r="D8">
        <v>1.1551581803924</v>
      </c>
      <c r="E8">
        <v>11.470247268676699</v>
      </c>
      <c r="F8">
        <v>3</v>
      </c>
      <c r="G8">
        <v>8.93333333333333</v>
      </c>
      <c r="H8">
        <v>9</v>
      </c>
      <c r="I8">
        <v>3</v>
      </c>
      <c r="J8">
        <v>14</v>
      </c>
      <c r="K8">
        <v>1206</v>
      </c>
      <c r="L8">
        <v>2.5777463256501698</v>
      </c>
      <c r="M8">
        <v>1</v>
      </c>
      <c r="N8">
        <v>5.8738693874872796</v>
      </c>
      <c r="O8">
        <v>6.1898232424773703</v>
      </c>
      <c r="P8">
        <v>2.5834621858850602</v>
      </c>
      <c r="Q8">
        <v>11.470247268676699</v>
      </c>
      <c r="R8">
        <v>3</v>
      </c>
      <c r="S8">
        <v>60.192592592592497</v>
      </c>
      <c r="T8">
        <v>59</v>
      </c>
      <c r="U8">
        <v>23</v>
      </c>
      <c r="V8">
        <v>101</v>
      </c>
      <c r="W8">
        <v>8126</v>
      </c>
      <c r="X8">
        <v>19.601818487181799</v>
      </c>
      <c r="Y8">
        <f t="shared" si="0"/>
        <v>0.19117078781127833</v>
      </c>
      <c r="Z8">
        <f t="shared" si="1"/>
        <v>4.9714232268519511</v>
      </c>
    </row>
    <row r="9" spans="1:35" x14ac:dyDescent="0.25">
      <c r="A9">
        <v>0</v>
      </c>
      <c r="B9">
        <v>1.6045893227183099</v>
      </c>
      <c r="C9">
        <v>3.3910547380123202</v>
      </c>
      <c r="D9">
        <v>1.4283183930686401</v>
      </c>
      <c r="E9">
        <v>15.293663024902299</v>
      </c>
      <c r="F9">
        <v>4</v>
      </c>
      <c r="G9">
        <v>13.437037037036999</v>
      </c>
      <c r="H9">
        <v>13</v>
      </c>
      <c r="I9">
        <v>5</v>
      </c>
      <c r="J9">
        <v>21</v>
      </c>
      <c r="K9">
        <v>1814</v>
      </c>
      <c r="L9">
        <v>3.9447819443120302</v>
      </c>
      <c r="M9">
        <v>1</v>
      </c>
      <c r="N9">
        <v>5.8202411470064899</v>
      </c>
      <c r="O9">
        <v>5.9986324750680096</v>
      </c>
      <c r="P9">
        <v>2.4684229507778102</v>
      </c>
      <c r="Q9">
        <v>15.293663024902299</v>
      </c>
      <c r="R9">
        <v>4</v>
      </c>
      <c r="S9">
        <v>47.866666666666603</v>
      </c>
      <c r="T9">
        <v>47</v>
      </c>
      <c r="U9">
        <v>19</v>
      </c>
      <c r="V9">
        <v>79</v>
      </c>
      <c r="W9">
        <v>6462</v>
      </c>
      <c r="X9">
        <v>15.1296881225809</v>
      </c>
      <c r="Y9">
        <f t="shared" si="0"/>
        <v>0.25489438374837164</v>
      </c>
      <c r="Z9">
        <f t="shared" si="1"/>
        <v>5.0648790162628874</v>
      </c>
    </row>
    <row r="10" spans="1:35" x14ac:dyDescent="0.25">
      <c r="A10">
        <v>0</v>
      </c>
      <c r="B10">
        <v>1.7768510986567101</v>
      </c>
      <c r="C10">
        <v>3.3877492456690499</v>
      </c>
      <c r="D10">
        <v>1.4315806070097601</v>
      </c>
      <c r="E10">
        <v>19.117078781127901</v>
      </c>
      <c r="F10">
        <v>5</v>
      </c>
      <c r="G10">
        <v>9.0222222222222204</v>
      </c>
      <c r="H10">
        <v>9</v>
      </c>
      <c r="I10">
        <v>4</v>
      </c>
      <c r="J10">
        <v>15</v>
      </c>
      <c r="K10">
        <v>1218</v>
      </c>
      <c r="L10">
        <v>2.8922610755865699</v>
      </c>
      <c r="M10">
        <v>1</v>
      </c>
      <c r="N10">
        <v>5.9952760499789601</v>
      </c>
      <c r="O10">
        <v>5.9651716829922696</v>
      </c>
      <c r="P10">
        <v>2.4333142333526299</v>
      </c>
      <c r="Q10">
        <v>19.117078781127901</v>
      </c>
      <c r="R10">
        <v>5</v>
      </c>
      <c r="S10">
        <v>50.022222222222197</v>
      </c>
      <c r="T10">
        <v>49</v>
      </c>
      <c r="U10">
        <v>18</v>
      </c>
      <c r="V10">
        <v>81</v>
      </c>
      <c r="W10">
        <v>6753</v>
      </c>
      <c r="X10">
        <v>16.0011504561515</v>
      </c>
      <c r="Y10">
        <f t="shared" si="0"/>
        <v>0.31861797968546501</v>
      </c>
      <c r="Z10">
        <f t="shared" si="1"/>
        <v>5.0439751930894081</v>
      </c>
    </row>
    <row r="11" spans="1:35" x14ac:dyDescent="0.25">
      <c r="A11">
        <v>0</v>
      </c>
      <c r="B11">
        <v>1.7381184313765401</v>
      </c>
      <c r="C11">
        <v>3.4806771247669102</v>
      </c>
      <c r="D11">
        <v>1.2920794980354799</v>
      </c>
      <c r="E11">
        <v>22.940494537353501</v>
      </c>
      <c r="F11">
        <v>6</v>
      </c>
      <c r="G11">
        <v>4.7481481481481396</v>
      </c>
      <c r="H11">
        <v>5</v>
      </c>
      <c r="I11">
        <v>1</v>
      </c>
      <c r="J11">
        <v>9</v>
      </c>
      <c r="K11">
        <v>641</v>
      </c>
      <c r="L11">
        <v>1.9150562850483599</v>
      </c>
      <c r="M11">
        <v>1</v>
      </c>
      <c r="N11">
        <v>6.0920434908778196</v>
      </c>
      <c r="O11">
        <v>5.9197569752502703</v>
      </c>
      <c r="P11">
        <v>2.4166892566278202</v>
      </c>
      <c r="Q11">
        <v>22.940494537353501</v>
      </c>
      <c r="R11">
        <v>6</v>
      </c>
      <c r="S11">
        <v>32.074074074073998</v>
      </c>
      <c r="T11">
        <v>30</v>
      </c>
      <c r="U11">
        <v>10</v>
      </c>
      <c r="V11">
        <v>60</v>
      </c>
      <c r="W11">
        <v>4330</v>
      </c>
      <c r="X11">
        <v>12.9768045819705</v>
      </c>
      <c r="Y11">
        <f t="shared" si="0"/>
        <v>0.38234157562255838</v>
      </c>
      <c r="Z11">
        <f t="shared" si="1"/>
        <v>5.1157131516444778</v>
      </c>
    </row>
    <row r="12" spans="1:35" x14ac:dyDescent="0.25">
      <c r="A12">
        <v>0</v>
      </c>
      <c r="B12">
        <v>1.70395476500166</v>
      </c>
      <c r="C12">
        <v>3.3889157740768798</v>
      </c>
      <c r="D12">
        <v>1.43495784645321</v>
      </c>
      <c r="E12">
        <v>26.763910293579102</v>
      </c>
      <c r="F12">
        <v>7</v>
      </c>
      <c r="G12">
        <v>6.6</v>
      </c>
      <c r="H12">
        <v>6</v>
      </c>
      <c r="I12">
        <v>1</v>
      </c>
      <c r="J12">
        <v>12</v>
      </c>
      <c r="K12">
        <v>891</v>
      </c>
      <c r="L12">
        <v>2.6882830341394</v>
      </c>
      <c r="M12">
        <v>1</v>
      </c>
      <c r="N12">
        <v>6.0431704323467397</v>
      </c>
      <c r="O12">
        <v>5.8975082957531004</v>
      </c>
      <c r="P12">
        <v>2.2313584363814001</v>
      </c>
      <c r="Q12">
        <v>26.763910293579102</v>
      </c>
      <c r="R12">
        <v>7</v>
      </c>
      <c r="S12">
        <v>36.644444444444403</v>
      </c>
      <c r="T12">
        <v>35</v>
      </c>
      <c r="U12">
        <v>12</v>
      </c>
      <c r="V12">
        <v>68</v>
      </c>
      <c r="W12">
        <v>4947</v>
      </c>
      <c r="X12">
        <v>14.879348939910701</v>
      </c>
      <c r="Y12">
        <f t="shared" si="0"/>
        <v>0.4460651715596517</v>
      </c>
      <c r="Z12">
        <f t="shared" si="1"/>
        <v>5.0750451177482976</v>
      </c>
    </row>
    <row r="13" spans="1:35" x14ac:dyDescent="0.25">
      <c r="A13">
        <v>0</v>
      </c>
      <c r="B13">
        <v>1.7656836701188801</v>
      </c>
      <c r="C13">
        <v>3.4024744188047702</v>
      </c>
      <c r="D13">
        <v>1.46238175642537</v>
      </c>
      <c r="E13">
        <v>30.587326049804599</v>
      </c>
      <c r="F13">
        <v>8</v>
      </c>
      <c r="G13">
        <v>6.5481481481481403</v>
      </c>
      <c r="H13">
        <v>6</v>
      </c>
      <c r="I13">
        <v>2</v>
      </c>
      <c r="J13">
        <v>13</v>
      </c>
      <c r="K13">
        <v>884</v>
      </c>
      <c r="L13">
        <v>2.91347491791011</v>
      </c>
      <c r="M13">
        <v>1</v>
      </c>
      <c r="N13">
        <v>6.0890447743152096</v>
      </c>
      <c r="O13">
        <v>6.0505410170437797</v>
      </c>
      <c r="P13">
        <v>2.1788988137051502</v>
      </c>
      <c r="Q13">
        <v>30.587326049804599</v>
      </c>
      <c r="R13">
        <v>8</v>
      </c>
      <c r="S13">
        <v>32.925925925925903</v>
      </c>
      <c r="T13">
        <v>32</v>
      </c>
      <c r="U13">
        <v>10</v>
      </c>
      <c r="V13">
        <v>61</v>
      </c>
      <c r="W13">
        <v>4445</v>
      </c>
      <c r="X13">
        <v>13.847587014128999</v>
      </c>
      <c r="Y13">
        <f t="shared" si="0"/>
        <v>0.50978876749674329</v>
      </c>
      <c r="Z13">
        <f t="shared" si="1"/>
        <v>5.1202641181251289</v>
      </c>
      <c r="AA13">
        <v>5.5880586102431904</v>
      </c>
      <c r="AB13">
        <v>7.6472293774207296</v>
      </c>
      <c r="AC13">
        <v>1.2671811330521701</v>
      </c>
      <c r="AD13">
        <v>30.587326049804599</v>
      </c>
      <c r="AE13">
        <v>8</v>
      </c>
      <c r="AF13">
        <v>36</v>
      </c>
      <c r="AG13">
        <v>1973</v>
      </c>
      <c r="AH13">
        <f>SQRT((N13-AA13)^2+(O13-AB13)^2+(P13-AC13)^2)</f>
        <v>1.9056836006982056</v>
      </c>
      <c r="AI13">
        <f>SQRT((B13-AA13)^2+(C13-AB13)^2+(D13-AC13)^2)</f>
        <v>5.7154700703398307</v>
      </c>
    </row>
    <row r="14" spans="1:35" x14ac:dyDescent="0.25">
      <c r="A14">
        <v>0</v>
      </c>
      <c r="B14">
        <v>1.8586868102877001</v>
      </c>
      <c r="C14">
        <v>3.34502403951157</v>
      </c>
      <c r="D14">
        <v>1.45557890724751</v>
      </c>
      <c r="E14">
        <v>34.410741806030202</v>
      </c>
      <c r="F14">
        <v>9</v>
      </c>
      <c r="G14">
        <v>12.3037037037037</v>
      </c>
      <c r="H14">
        <v>12</v>
      </c>
      <c r="I14">
        <v>5</v>
      </c>
      <c r="J14">
        <v>21</v>
      </c>
      <c r="K14">
        <v>1661</v>
      </c>
      <c r="L14">
        <v>4.3900737322099603</v>
      </c>
      <c r="M14">
        <v>1</v>
      </c>
      <c r="N14">
        <v>6.0215702318645601</v>
      </c>
      <c r="O14">
        <v>6.3183638840344898</v>
      </c>
      <c r="P14">
        <v>2.2533126256421001</v>
      </c>
      <c r="Q14">
        <v>34.410741806030202</v>
      </c>
      <c r="R14">
        <v>9</v>
      </c>
      <c r="S14">
        <v>32</v>
      </c>
      <c r="T14">
        <v>31</v>
      </c>
      <c r="U14">
        <v>13</v>
      </c>
      <c r="V14">
        <v>53</v>
      </c>
      <c r="W14">
        <v>4320</v>
      </c>
      <c r="X14">
        <v>10.208278759119001</v>
      </c>
      <c r="Y14">
        <f t="shared" si="0"/>
        <v>0.57351236343383671</v>
      </c>
      <c r="Z14">
        <f t="shared" si="1"/>
        <v>5.1775213469507495</v>
      </c>
      <c r="AA14">
        <v>5.5643195847843199</v>
      </c>
      <c r="AB14">
        <v>7.6525102464937902</v>
      </c>
      <c r="AC14">
        <v>1.2560597805717599</v>
      </c>
      <c r="AD14">
        <v>34.410741806030202</v>
      </c>
      <c r="AE14">
        <v>9</v>
      </c>
      <c r="AF14">
        <v>53</v>
      </c>
      <c r="AG14">
        <v>2963</v>
      </c>
      <c r="AH14">
        <f t="shared" ref="AH14:AH17" si="2">SQRT((N14-AA14)^2+(O14-AB14)^2+(P14-AC14)^2)</f>
        <v>1.7272920736573678</v>
      </c>
      <c r="AI14">
        <f t="shared" ref="AI14:AI17" si="3">SQRT((B14-AA14)^2+(C14-AB14)^2+(D14-AC14)^2)</f>
        <v>5.6855922791451592</v>
      </c>
    </row>
    <row r="15" spans="1:35" x14ac:dyDescent="0.25">
      <c r="A15">
        <v>0</v>
      </c>
      <c r="B15">
        <v>1.9908505686154601</v>
      </c>
      <c r="C15">
        <v>3.30257744213753</v>
      </c>
      <c r="D15">
        <v>1.62344130232644</v>
      </c>
      <c r="E15">
        <v>38.234157562255803</v>
      </c>
      <c r="F15">
        <v>10</v>
      </c>
      <c r="G15">
        <v>12.474074074074</v>
      </c>
      <c r="H15">
        <v>12</v>
      </c>
      <c r="I15">
        <v>3</v>
      </c>
      <c r="J15">
        <v>20</v>
      </c>
      <c r="K15">
        <v>1684</v>
      </c>
      <c r="L15">
        <v>4.26164713029232</v>
      </c>
      <c r="M15">
        <v>1</v>
      </c>
      <c r="N15">
        <v>6.0068161154507997</v>
      </c>
      <c r="O15">
        <v>6.4633432985486401</v>
      </c>
      <c r="P15">
        <v>2.0929751454039001</v>
      </c>
      <c r="Q15">
        <v>38.234157562255803</v>
      </c>
      <c r="R15">
        <v>10</v>
      </c>
      <c r="S15">
        <v>48.481481481481403</v>
      </c>
      <c r="T15">
        <v>48</v>
      </c>
      <c r="U15">
        <v>18</v>
      </c>
      <c r="V15">
        <v>81</v>
      </c>
      <c r="W15">
        <v>6545</v>
      </c>
      <c r="X15">
        <v>16.148495540965801</v>
      </c>
      <c r="Y15">
        <f t="shared" si="0"/>
        <v>0.63723595937093003</v>
      </c>
      <c r="Z15">
        <f t="shared" si="1"/>
        <v>5.1321420578758161</v>
      </c>
      <c r="AA15">
        <v>5.4848952345233899</v>
      </c>
      <c r="AB15">
        <v>7.6333766813029804</v>
      </c>
      <c r="AC15">
        <v>1.23802747552808</v>
      </c>
      <c r="AD15">
        <v>38.234157562255803</v>
      </c>
      <c r="AE15">
        <v>10</v>
      </c>
      <c r="AF15">
        <v>53</v>
      </c>
      <c r="AG15">
        <v>2820</v>
      </c>
      <c r="AH15">
        <f t="shared" si="2"/>
        <v>1.5402321386510873</v>
      </c>
      <c r="AI15">
        <f t="shared" si="3"/>
        <v>5.5778771943458079</v>
      </c>
    </row>
    <row r="16" spans="1:35" x14ac:dyDescent="0.25">
      <c r="A16">
        <v>0</v>
      </c>
      <c r="B16">
        <v>2.0761243800634999</v>
      </c>
      <c r="C16">
        <v>3.1723498052481598</v>
      </c>
      <c r="D16">
        <v>2.0115820999106799</v>
      </c>
      <c r="E16">
        <v>42.057573318481403</v>
      </c>
      <c r="F16">
        <v>11</v>
      </c>
      <c r="G16">
        <v>8.9851851851851805</v>
      </c>
      <c r="H16">
        <v>9</v>
      </c>
      <c r="I16">
        <v>2</v>
      </c>
      <c r="J16">
        <v>16</v>
      </c>
      <c r="K16">
        <v>1213</v>
      </c>
      <c r="L16">
        <v>3.3966295523940699</v>
      </c>
      <c r="M16">
        <v>1</v>
      </c>
      <c r="N16">
        <v>5.8170516686770899</v>
      </c>
      <c r="O16">
        <v>6.68115401606586</v>
      </c>
      <c r="P16">
        <v>2.0087700406879101</v>
      </c>
      <c r="Q16">
        <v>42.057573318481403</v>
      </c>
      <c r="R16">
        <v>11</v>
      </c>
      <c r="S16">
        <v>51.362962962962897</v>
      </c>
      <c r="T16">
        <v>51</v>
      </c>
      <c r="U16">
        <v>20</v>
      </c>
      <c r="V16">
        <v>85</v>
      </c>
      <c r="W16">
        <v>6934</v>
      </c>
      <c r="X16">
        <v>16.795791675922999</v>
      </c>
      <c r="Y16">
        <f t="shared" si="0"/>
        <v>0.70095955530802334</v>
      </c>
      <c r="Z16">
        <f t="shared" si="1"/>
        <v>5.1289620661711783</v>
      </c>
      <c r="AA16">
        <v>5.5751111402758697</v>
      </c>
      <c r="AB16">
        <v>7.5599188750124302</v>
      </c>
      <c r="AC16">
        <v>1.2707418377233</v>
      </c>
      <c r="AD16">
        <v>42.057573318481403</v>
      </c>
      <c r="AE16">
        <v>11</v>
      </c>
      <c r="AF16">
        <v>20</v>
      </c>
      <c r="AG16">
        <v>1177</v>
      </c>
      <c r="AH16">
        <f t="shared" si="2"/>
        <v>1.1727951760531841</v>
      </c>
      <c r="AI16">
        <f t="shared" si="3"/>
        <v>5.6606108313654122</v>
      </c>
    </row>
    <row r="17" spans="1:35" x14ac:dyDescent="0.25">
      <c r="A17">
        <v>0</v>
      </c>
      <c r="B17">
        <v>2.1047868440155599</v>
      </c>
      <c r="C17">
        <v>3.2010907161060298</v>
      </c>
      <c r="D17">
        <v>1.89024330847952</v>
      </c>
      <c r="E17">
        <v>45.880989074707003</v>
      </c>
      <c r="F17">
        <v>12</v>
      </c>
      <c r="G17">
        <v>5.8074074074073998</v>
      </c>
      <c r="H17">
        <v>6</v>
      </c>
      <c r="I17">
        <v>2</v>
      </c>
      <c r="J17">
        <v>10</v>
      </c>
      <c r="K17">
        <v>784</v>
      </c>
      <c r="L17">
        <v>2.08583100693631</v>
      </c>
      <c r="M17">
        <v>1</v>
      </c>
      <c r="N17">
        <v>5.9145605952398999</v>
      </c>
      <c r="O17">
        <v>6.6416547856068702</v>
      </c>
      <c r="P17">
        <v>2.00155936248153</v>
      </c>
      <c r="Q17">
        <v>45.880989074707003</v>
      </c>
      <c r="R17">
        <v>12</v>
      </c>
      <c r="S17">
        <v>35.414814814814797</v>
      </c>
      <c r="T17">
        <v>33</v>
      </c>
      <c r="U17">
        <v>12</v>
      </c>
      <c r="V17">
        <v>66</v>
      </c>
      <c r="W17">
        <v>4781</v>
      </c>
      <c r="X17">
        <v>13.980468884363001</v>
      </c>
      <c r="Y17">
        <f t="shared" si="0"/>
        <v>0.76468315124511677</v>
      </c>
      <c r="Z17">
        <f t="shared" si="1"/>
        <v>5.1346127814798983</v>
      </c>
      <c r="AA17">
        <v>5.6106780643771996</v>
      </c>
      <c r="AB17">
        <v>7.5589175213195396</v>
      </c>
      <c r="AC17">
        <v>1.2417012856446701</v>
      </c>
      <c r="AD17">
        <v>45.880989074707003</v>
      </c>
      <c r="AE17">
        <v>12</v>
      </c>
      <c r="AF17">
        <v>19</v>
      </c>
      <c r="AG17">
        <v>1147</v>
      </c>
      <c r="AH17">
        <f t="shared" si="2"/>
        <v>1.2292680000003342</v>
      </c>
      <c r="AI17">
        <f t="shared" si="3"/>
        <v>5.6305003746229279</v>
      </c>
    </row>
    <row r="18" spans="1:35" x14ac:dyDescent="0.25">
      <c r="M18">
        <v>1</v>
      </c>
      <c r="N18">
        <v>6.10838963026481</v>
      </c>
      <c r="O18">
        <v>6.3314848287374597</v>
      </c>
      <c r="P18">
        <v>2.4001818713820602</v>
      </c>
      <c r="Q18">
        <v>49.704404830932603</v>
      </c>
      <c r="R18">
        <v>13</v>
      </c>
      <c r="S18">
        <v>16.711111111111101</v>
      </c>
      <c r="T18">
        <v>16</v>
      </c>
      <c r="U18">
        <v>5</v>
      </c>
      <c r="V18">
        <v>33</v>
      </c>
      <c r="W18">
        <v>2256</v>
      </c>
      <c r="X18">
        <v>7.2275041280097501</v>
      </c>
    </row>
    <row r="19" spans="1:35" x14ac:dyDescent="0.25">
      <c r="M19">
        <v>1</v>
      </c>
      <c r="N19">
        <v>5.9348377810127602</v>
      </c>
      <c r="O19">
        <v>6.4033789818542903</v>
      </c>
      <c r="P19">
        <v>2.4159496999914398</v>
      </c>
      <c r="Q19">
        <v>53.527820587158203</v>
      </c>
      <c r="R19">
        <v>14</v>
      </c>
      <c r="S19">
        <v>16.962962962962902</v>
      </c>
      <c r="T19">
        <v>17</v>
      </c>
      <c r="U19">
        <v>5</v>
      </c>
      <c r="V19">
        <v>29</v>
      </c>
      <c r="W19">
        <v>2290</v>
      </c>
      <c r="X19">
        <v>5.9980188363579297</v>
      </c>
    </row>
    <row r="20" spans="1:35" x14ac:dyDescent="0.25">
      <c r="M20">
        <v>1</v>
      </c>
      <c r="N20">
        <v>5.96534659734548</v>
      </c>
      <c r="O20">
        <v>6.34245460498789</v>
      </c>
      <c r="P20">
        <v>2.46650954350218</v>
      </c>
      <c r="Q20">
        <v>57.351236343383697</v>
      </c>
      <c r="R20">
        <v>15</v>
      </c>
      <c r="S20">
        <v>30.037037037036999</v>
      </c>
      <c r="T20">
        <v>29</v>
      </c>
      <c r="U20">
        <v>10</v>
      </c>
      <c r="V20">
        <v>50</v>
      </c>
      <c r="W20">
        <v>4055</v>
      </c>
      <c r="X20">
        <v>10.1587455208957</v>
      </c>
    </row>
    <row r="21" spans="1:35" x14ac:dyDescent="0.25">
      <c r="M21">
        <v>1</v>
      </c>
      <c r="N21">
        <v>5.8374996047435204</v>
      </c>
      <c r="O21">
        <v>6.3499943268626398</v>
      </c>
      <c r="P21">
        <v>2.5379973242267901</v>
      </c>
      <c r="Q21">
        <v>61.174652099609297</v>
      </c>
      <c r="R21">
        <v>16</v>
      </c>
      <c r="S21">
        <v>25.274074074074001</v>
      </c>
      <c r="T21">
        <v>24</v>
      </c>
      <c r="U21">
        <v>8</v>
      </c>
      <c r="V21">
        <v>42</v>
      </c>
      <c r="W21">
        <v>3412</v>
      </c>
      <c r="X21">
        <v>8.5032299654436194</v>
      </c>
    </row>
    <row r="22" spans="1:35" x14ac:dyDescent="0.25">
      <c r="A22">
        <v>0</v>
      </c>
      <c r="B22">
        <v>1.82609778329973</v>
      </c>
      <c r="C22">
        <v>3.0216382923365499</v>
      </c>
      <c r="D22">
        <v>1.5462033027445401</v>
      </c>
      <c r="E22">
        <v>64.998067855834904</v>
      </c>
      <c r="F22">
        <v>17</v>
      </c>
      <c r="G22">
        <v>4.8888888888888804</v>
      </c>
      <c r="H22">
        <v>5</v>
      </c>
      <c r="I22">
        <v>2</v>
      </c>
      <c r="J22">
        <v>8</v>
      </c>
      <c r="K22">
        <v>660</v>
      </c>
      <c r="L22">
        <v>1.6192252923122401</v>
      </c>
      <c r="M22">
        <v>1</v>
      </c>
      <c r="N22">
        <v>5.7087156262051302</v>
      </c>
      <c r="O22">
        <v>6.3928410536961104</v>
      </c>
      <c r="P22">
        <v>2.2404849360992101</v>
      </c>
      <c r="Q22">
        <v>64.998067855834904</v>
      </c>
      <c r="R22">
        <v>17</v>
      </c>
      <c r="S22">
        <v>21.259259259259199</v>
      </c>
      <c r="T22">
        <v>21</v>
      </c>
      <c r="U22">
        <v>8</v>
      </c>
      <c r="V22">
        <v>34</v>
      </c>
      <c r="W22">
        <v>2870</v>
      </c>
      <c r="X22">
        <v>6.3867434569208896</v>
      </c>
      <c r="Y22">
        <f t="shared" si="0"/>
        <v>1.0833011309305818</v>
      </c>
      <c r="Z22">
        <f t="shared" si="1"/>
        <v>5.1886179622958695</v>
      </c>
    </row>
    <row r="23" spans="1:35" x14ac:dyDescent="0.25">
      <c r="A23">
        <v>0</v>
      </c>
      <c r="B23">
        <v>1.8514501202288201</v>
      </c>
      <c r="C23">
        <v>2.9939171618598701</v>
      </c>
      <c r="D23">
        <v>1.6367734575491499</v>
      </c>
      <c r="E23">
        <v>68.821483612060504</v>
      </c>
      <c r="F23">
        <v>18</v>
      </c>
      <c r="G23">
        <v>6.5703703703703704</v>
      </c>
      <c r="H23">
        <v>6</v>
      </c>
      <c r="I23">
        <v>2</v>
      </c>
      <c r="J23">
        <v>14</v>
      </c>
      <c r="K23">
        <v>887</v>
      </c>
      <c r="L23">
        <v>3.0798835526076198</v>
      </c>
      <c r="M23">
        <v>1</v>
      </c>
      <c r="N23">
        <v>5.5999598603703102</v>
      </c>
      <c r="O23">
        <v>6.5407732233234102</v>
      </c>
      <c r="P23">
        <v>2.2608282376320301</v>
      </c>
      <c r="Q23">
        <v>68.821483612060504</v>
      </c>
      <c r="R23">
        <v>18</v>
      </c>
      <c r="S23">
        <v>22.496296296296201</v>
      </c>
      <c r="T23">
        <v>20</v>
      </c>
      <c r="U23">
        <v>8</v>
      </c>
      <c r="V23">
        <v>42</v>
      </c>
      <c r="W23">
        <v>3037</v>
      </c>
      <c r="X23">
        <v>8.9483376877630096</v>
      </c>
      <c r="Y23">
        <f t="shared" si="0"/>
        <v>1.147024726867675</v>
      </c>
      <c r="Z23">
        <f t="shared" si="1"/>
        <v>5.1981686737947026</v>
      </c>
    </row>
    <row r="24" spans="1:35" x14ac:dyDescent="0.25">
      <c r="M24">
        <v>1</v>
      </c>
      <c r="N24">
        <v>5.6013887723547198</v>
      </c>
      <c r="O24">
        <v>6.5205537064494701</v>
      </c>
      <c r="P24">
        <v>2.3783216741047002</v>
      </c>
      <c r="Q24">
        <v>72.644899368286104</v>
      </c>
      <c r="R24">
        <v>19</v>
      </c>
      <c r="S24">
        <v>23.933333333333302</v>
      </c>
      <c r="T24">
        <v>21</v>
      </c>
      <c r="U24">
        <v>7</v>
      </c>
      <c r="V24">
        <v>46</v>
      </c>
      <c r="W24">
        <v>3231</v>
      </c>
      <c r="X24">
        <v>9.9290016933660397</v>
      </c>
      <c r="Z24">
        <f>AVERAGE(Z5:Z23)</f>
        <v>5.0891879853213258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2023-12-01T02:04:10Z</dcterms:created>
  <dcterms:modified xsi:type="dcterms:W3CDTF">2024-04-10T22:16:40Z</dcterms:modified>
</cp:coreProperties>
</file>