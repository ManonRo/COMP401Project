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48DC6DFF-B330-4FBE-8949-46AA8876DEB7}" xr6:coauthVersionLast="45" xr6:coauthVersionMax="45" xr10:uidLastSave="{00000000-0000-0000-0000-000000000000}"/>
  <bookViews>
    <workbookView xWindow="29910" yWindow="1080" windowWidth="23790" windowHeight="13980" xr2:uid="{00000000-000D-0000-FFFF-FFFF00000000}"/>
  </bookViews>
  <sheets>
    <sheet name="231107_triple_12_Cell 6_SPB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6" i="1"/>
  <c r="Z7" i="1"/>
  <c r="Z8" i="1"/>
  <c r="Z14" i="1"/>
  <c r="Z15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<sst xmlns="http://schemas.openxmlformats.org/spreadsheetml/2006/main" count="46" uniqueCount="33">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</sst>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2947065827297906"/>
                  <c:y val="-3.9694677614986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'231107_triple_12_Cell 6_SPB_new'!$Y$5:$Y$24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6.3695657253265342E-2</c:v>
                </c:pt>
                <c:pt idx="2">
                  <c:v>0.12739131450653068</c:v>
                </c:pt>
                <c:pt idx="3">
                  <c:v>0.191086971759795</c:v>
                </c:pt>
                <c:pt idx="4">
                  <c:v>0.25478262901306004</c:v>
                </c:pt>
                <c:pt idx="5">
                  <c:v>0.31847828626632668</c:v>
                </c:pt>
                <c:pt idx="6">
                  <c:v>0.38217394351959172</c:v>
                </c:pt>
                <c:pt idx="7">
                  <c:v>0.44586960077285664</c:v>
                </c:pt>
                <c:pt idx="8">
                  <c:v>0.50956525802612174</c:v>
                </c:pt>
                <c:pt idx="9">
                  <c:v>0.57326091527938827</c:v>
                </c:pt>
                <c:pt idx="10">
                  <c:v>0.63695657253265336</c:v>
                </c:pt>
                <c:pt idx="11">
                  <c:v>0.70065222978591835</c:v>
                </c:pt>
                <c:pt idx="12">
                  <c:v>0.76434788703918344</c:v>
                </c:pt>
                <c:pt idx="13">
                  <c:v>0.82804354429244997</c:v>
                </c:pt>
                <c:pt idx="14">
                  <c:v>0.89173920154571495</c:v>
                </c:pt>
                <c:pt idx="15">
                  <c:v>0.95543485879898005</c:v>
                </c:pt>
                <c:pt idx="16">
                  <c:v>1.019130516052245</c:v>
                </c:pt>
                <c:pt idx="17">
                  <c:v>1.08282617330551</c:v>
                </c:pt>
                <c:pt idx="18">
                  <c:v>1.1465218305587765</c:v>
                </c:pt>
                <c:pt idx="19">
                  <c:v>1.2102174878120417</c:v>
                </c:pt>
              </c:numCache>
            </c:numRef>
          </c:xVal>
          <c:yVal>
            <c:numRef>
              <c:f>'231107_triple_12_Cell 6_SPB_new'!$Z$5:$Z$24</c:f>
              <c:numCache>
                <c:formatCode>General</c:formatCode>
                <c:ptCount val="20"/>
                <c:pt idx="0">
                  <c:v>4.4702481890960444</c:v>
                </c:pt>
                <c:pt idx="1">
                  <c:v>4.5822641269263844</c:v>
                </c:pt>
                <c:pt idx="2">
                  <c:v>4.7015884710313491</c:v>
                </c:pt>
                <c:pt idx="3">
                  <c:v>4.6718839987669805</c:v>
                </c:pt>
                <c:pt idx="9">
                  <c:v>4.7705048554734759</c:v>
                </c:pt>
                <c:pt idx="10">
                  <c:v>4.6509336403659107</c:v>
                </c:pt>
                <c:pt idx="17">
                  <c:v>4.7572675120603796</c:v>
                </c:pt>
                <c:pt idx="18">
                  <c:v>4.9087971613856203</c:v>
                </c:pt>
                <c:pt idx="19">
                  <c:v>4.9204282692639083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7-4971-8141-C0E15864D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46608"/>
        <c:axId val="614746936"/>
      </c:scatterChart>
      <c:valAx>
        <c:axId val="61474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46936"/>
        <c:crosses val="autoZero"/>
        <c:crossBetween val="midCat"/>
      </c:valAx>
      <c:valAx>
        <c:axId val="61474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74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352425</xdr:colOff>
      <xdr:row>25</xdr:row>
      <xdr:rowOff>66675</xdr:rowOff>
    </xdr:from>
    <xdr:to>
      <xdr:col>21</xdr:col>
      <xdr:colOff>495300</xdr:colOff>
      <xdr:row>34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D47D8-F0F9-4BC2-AAE7-1F678E236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selection activeCell="P11" sqref="P1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5</v>
      </c>
      <c r="B5">
        <v>2.3398121183887199</v>
      </c>
      <c r="C5">
        <v>5.0906664189290698</v>
      </c>
      <c r="D5">
        <v>1.10263071306632</v>
      </c>
      <c r="E5">
        <v>0</v>
      </c>
      <c r="F5">
        <v>0</v>
      </c>
      <c r="G5">
        <v>140.12658227848101</v>
      </c>
      <c r="H5">
        <v>138</v>
      </c>
      <c r="I5">
        <v>69</v>
      </c>
      <c r="J5">
        <v>207</v>
      </c>
      <c r="K5">
        <v>11070</v>
      </c>
      <c r="L5">
        <v>36.2145908718513</v>
      </c>
      <c r="M5">
        <v>31</v>
      </c>
      <c r="N5">
        <v>6.0755342233141603</v>
      </c>
      <c r="O5">
        <v>3.95533825880268</v>
      </c>
      <c r="P5">
        <v>3.2794470111750802</v>
      </c>
      <c r="Q5">
        <v>0</v>
      </c>
      <c r="R5">
        <v>0</v>
      </c>
      <c r="S5">
        <v>9.1392405063291093</v>
      </c>
      <c r="T5">
        <v>9</v>
      </c>
      <c r="U5">
        <v>4</v>
      </c>
      <c r="V5">
        <v>13</v>
      </c>
      <c r="W5">
        <v>722</v>
      </c>
      <c r="X5">
        <v>2.1287662083047598</v>
      </c>
      <c r="Y5">
        <f>E5/60</f>
        <v>0</v>
      </c>
      <c r="Z5">
        <f>SQRT((B5-N5)^2+(C5-O5)^2+(D5-P5)^2)</f>
        <v>4.4702481890960444</v>
      </c>
    </row>
    <row r="6" spans="1:26" x14ac:dyDescent="0.25">
      <c r="A6">
        <v>5</v>
      </c>
      <c r="B6">
        <v>2.2684736927776501</v>
      </c>
      <c r="C6">
        <v>5.02556718490092</v>
      </c>
      <c r="D6">
        <v>1.05618969241704</v>
      </c>
      <c r="E6">
        <v>3.8217394351959202</v>
      </c>
      <c r="F6">
        <v>1</v>
      </c>
      <c r="G6">
        <v>100.30379746835401</v>
      </c>
      <c r="H6">
        <v>101</v>
      </c>
      <c r="I6">
        <v>45</v>
      </c>
      <c r="J6">
        <v>150</v>
      </c>
      <c r="K6">
        <v>7924</v>
      </c>
      <c r="L6">
        <v>26.840628613516301</v>
      </c>
      <c r="M6">
        <v>31</v>
      </c>
      <c r="N6">
        <v>6.0716603723082097</v>
      </c>
      <c r="O6">
        <v>3.99144288902195</v>
      </c>
      <c r="P6">
        <v>3.3936033379300801</v>
      </c>
      <c r="Q6">
        <v>3.8217394351959202</v>
      </c>
      <c r="R6">
        <v>1</v>
      </c>
      <c r="S6">
        <v>12.4177215189873</v>
      </c>
      <c r="T6">
        <v>13</v>
      </c>
      <c r="U6">
        <v>6</v>
      </c>
      <c r="V6">
        <v>19</v>
      </c>
      <c r="W6">
        <v>981</v>
      </c>
      <c r="X6">
        <v>3.1647400141799098</v>
      </c>
      <c r="Y6">
        <f t="shared" ref="Y6:Y24" si="0">E6/60</f>
        <v>6.3695657253265342E-2</v>
      </c>
      <c r="Z6">
        <f t="shared" ref="Z6:Z24" si="1">SQRT((B6-N6)^2+(C6-O6)^2+(D6-P6)^2)</f>
        <v>4.5822641269263844</v>
      </c>
    </row>
    <row r="7" spans="1:26" x14ac:dyDescent="0.25">
      <c r="A7">
        <v>5</v>
      </c>
      <c r="B7">
        <v>2.2623642466914302</v>
      </c>
      <c r="C7">
        <v>5.0664619620280797</v>
      </c>
      <c r="D7">
        <v>0.94588309316012198</v>
      </c>
      <c r="E7">
        <v>7.6434788703918404</v>
      </c>
      <c r="F7">
        <v>2</v>
      </c>
      <c r="G7">
        <v>117.759493670886</v>
      </c>
      <c r="H7">
        <v>116</v>
      </c>
      <c r="I7">
        <v>63</v>
      </c>
      <c r="J7">
        <v>172</v>
      </c>
      <c r="K7">
        <v>9303</v>
      </c>
      <c r="L7">
        <v>27.738807024184698</v>
      </c>
      <c r="M7">
        <v>31</v>
      </c>
      <c r="N7">
        <v>6.0733949120372399</v>
      </c>
      <c r="O7">
        <v>3.9728621430109001</v>
      </c>
      <c r="P7">
        <v>3.4727425776931198</v>
      </c>
      <c r="Q7">
        <v>7.6434788703918404</v>
      </c>
      <c r="R7">
        <v>2</v>
      </c>
      <c r="S7">
        <v>8.5443037974683502</v>
      </c>
      <c r="T7">
        <v>8</v>
      </c>
      <c r="U7">
        <v>5</v>
      </c>
      <c r="V7">
        <v>12</v>
      </c>
      <c r="W7">
        <v>675</v>
      </c>
      <c r="X7">
        <v>1.8728660907025201</v>
      </c>
      <c r="Y7">
        <f t="shared" si="0"/>
        <v>0.12739131450653068</v>
      </c>
      <c r="Z7">
        <f t="shared" si="1"/>
        <v>4.7015884710313491</v>
      </c>
    </row>
    <row r="8" spans="1:26" x14ac:dyDescent="0.25">
      <c r="A8">
        <v>5</v>
      </c>
      <c r="B8">
        <v>2.3465876865235402</v>
      </c>
      <c r="C8">
        <v>5.1502644182009902</v>
      </c>
      <c r="D8">
        <v>0.85808848359809298</v>
      </c>
      <c r="E8">
        <v>11.465218305587699</v>
      </c>
      <c r="F8">
        <v>3</v>
      </c>
      <c r="G8">
        <v>98.303797468354404</v>
      </c>
      <c r="H8">
        <v>96</v>
      </c>
      <c r="I8">
        <v>49</v>
      </c>
      <c r="J8">
        <v>152</v>
      </c>
      <c r="K8">
        <v>7766</v>
      </c>
      <c r="L8">
        <v>27.0944948663196</v>
      </c>
      <c r="M8">
        <v>31</v>
      </c>
      <c r="N8">
        <v>6.0094241403985302</v>
      </c>
      <c r="O8">
        <v>3.9087023891561898</v>
      </c>
      <c r="P8">
        <v>3.47889998733765</v>
      </c>
      <c r="Q8">
        <v>11.465218305587699</v>
      </c>
      <c r="R8">
        <v>3</v>
      </c>
      <c r="S8">
        <v>5.1645569620253102</v>
      </c>
      <c r="T8">
        <v>5</v>
      </c>
      <c r="U8">
        <v>3</v>
      </c>
      <c r="V8">
        <v>7</v>
      </c>
      <c r="W8">
        <v>408</v>
      </c>
      <c r="X8">
        <v>1.13713968366919</v>
      </c>
      <c r="Y8">
        <f t="shared" si="0"/>
        <v>0.191086971759795</v>
      </c>
      <c r="Z8">
        <f t="shared" si="1"/>
        <v>4.6718839987669805</v>
      </c>
    </row>
    <row r="9" spans="1:26" x14ac:dyDescent="0.25">
      <c r="A9">
        <v>5</v>
      </c>
      <c r="B9">
        <v>2.4029458486906301</v>
      </c>
      <c r="C9">
        <v>5.41557342553872</v>
      </c>
      <c r="D9">
        <v>0.78486263484267105</v>
      </c>
      <c r="E9">
        <v>15.286957740783601</v>
      </c>
      <c r="F9">
        <v>4</v>
      </c>
      <c r="G9">
        <v>72.772151898734094</v>
      </c>
      <c r="H9">
        <v>73</v>
      </c>
      <c r="I9">
        <v>37</v>
      </c>
      <c r="J9">
        <v>111</v>
      </c>
      <c r="K9">
        <v>5749</v>
      </c>
      <c r="L9">
        <v>18.112150169747999</v>
      </c>
      <c r="Y9">
        <f t="shared" si="0"/>
        <v>0.25478262901306004</v>
      </c>
    </row>
    <row r="10" spans="1:26" x14ac:dyDescent="0.25">
      <c r="A10">
        <v>5</v>
      </c>
      <c r="B10">
        <v>2.3764242224754701</v>
      </c>
      <c r="C10">
        <v>5.2402410531090302</v>
      </c>
      <c r="D10">
        <v>0.76687458297725697</v>
      </c>
      <c r="E10">
        <v>19.1086971759796</v>
      </c>
      <c r="F10">
        <v>5</v>
      </c>
      <c r="G10">
        <v>65.518987341772103</v>
      </c>
      <c r="H10">
        <v>64</v>
      </c>
      <c r="I10">
        <v>33</v>
      </c>
      <c r="J10">
        <v>100</v>
      </c>
      <c r="K10">
        <v>5176</v>
      </c>
      <c r="L10">
        <v>17.217210202773899</v>
      </c>
      <c r="Y10">
        <f t="shared" si="0"/>
        <v>0.31847828626632668</v>
      </c>
    </row>
    <row r="11" spans="1:26" x14ac:dyDescent="0.25">
      <c r="A11">
        <v>5</v>
      </c>
      <c r="B11">
        <v>2.07235800331773</v>
      </c>
      <c r="C11">
        <v>5.2678346377999397</v>
      </c>
      <c r="D11">
        <v>0.84627864050278501</v>
      </c>
      <c r="E11">
        <v>22.930436611175502</v>
      </c>
      <c r="F11">
        <v>6</v>
      </c>
      <c r="G11">
        <v>75.544303797468302</v>
      </c>
      <c r="H11">
        <v>77</v>
      </c>
      <c r="I11">
        <v>35</v>
      </c>
      <c r="J11">
        <v>113</v>
      </c>
      <c r="K11">
        <v>5968</v>
      </c>
      <c r="L11">
        <v>20.338039053013599</v>
      </c>
      <c r="Y11">
        <f t="shared" si="0"/>
        <v>0.38217394351959172</v>
      </c>
    </row>
    <row r="12" spans="1:26" x14ac:dyDescent="0.25">
      <c r="A12">
        <v>5</v>
      </c>
      <c r="B12">
        <v>1.8378274088340001</v>
      </c>
      <c r="C12">
        <v>5.4750469811580498</v>
      </c>
      <c r="D12">
        <v>0.78949975004546402</v>
      </c>
      <c r="E12">
        <v>26.7521760463714</v>
      </c>
      <c r="F12">
        <v>7</v>
      </c>
      <c r="G12">
        <v>64.2151898734177</v>
      </c>
      <c r="H12">
        <v>63</v>
      </c>
      <c r="I12">
        <v>31</v>
      </c>
      <c r="J12">
        <v>98</v>
      </c>
      <c r="K12">
        <v>5073</v>
      </c>
      <c r="L12">
        <v>17.532878189039302</v>
      </c>
      <c r="Y12">
        <f t="shared" si="0"/>
        <v>0.44586960077285664</v>
      </c>
    </row>
    <row r="13" spans="1:26" x14ac:dyDescent="0.25">
      <c r="A13">
        <v>5</v>
      </c>
      <c r="B13">
        <v>1.71601598194063</v>
      </c>
      <c r="C13">
        <v>5.5785065159656098</v>
      </c>
      <c r="D13">
        <v>0.88664340909310602</v>
      </c>
      <c r="E13">
        <v>30.573915481567301</v>
      </c>
      <c r="F13">
        <v>8</v>
      </c>
      <c r="G13">
        <v>57.291139240506297</v>
      </c>
      <c r="H13">
        <v>57</v>
      </c>
      <c r="I13">
        <v>28</v>
      </c>
      <c r="J13">
        <v>86</v>
      </c>
      <c r="K13">
        <v>4526</v>
      </c>
      <c r="L13">
        <v>14.814365774506699</v>
      </c>
      <c r="Y13">
        <f t="shared" si="0"/>
        <v>0.50956525802612174</v>
      </c>
    </row>
    <row r="14" spans="1:26" x14ac:dyDescent="0.25">
      <c r="A14">
        <v>5</v>
      </c>
      <c r="B14">
        <v>1.4897182810746099</v>
      </c>
      <c r="C14">
        <v>5.6119646330156403</v>
      </c>
      <c r="D14">
        <v>0.94728193120682003</v>
      </c>
      <c r="E14">
        <v>34.395654916763299</v>
      </c>
      <c r="F14">
        <v>9</v>
      </c>
      <c r="G14">
        <v>32.075949367088597</v>
      </c>
      <c r="H14">
        <v>33</v>
      </c>
      <c r="I14">
        <v>15</v>
      </c>
      <c r="J14">
        <v>46</v>
      </c>
      <c r="K14">
        <v>2534</v>
      </c>
      <c r="L14">
        <v>7.8180792314479799</v>
      </c>
      <c r="M14">
        <v>31</v>
      </c>
      <c r="N14">
        <v>5.4853586682541797</v>
      </c>
      <c r="O14">
        <v>3.98579326223373</v>
      </c>
      <c r="P14">
        <v>2.9839805209065302</v>
      </c>
      <c r="Q14">
        <v>34.395654916763299</v>
      </c>
      <c r="R14">
        <v>9</v>
      </c>
      <c r="S14">
        <v>3.82278481012658</v>
      </c>
      <c r="T14">
        <v>4</v>
      </c>
      <c r="U14">
        <v>2</v>
      </c>
      <c r="V14">
        <v>6</v>
      </c>
      <c r="W14">
        <v>302</v>
      </c>
      <c r="X14">
        <v>1.0592630925570301</v>
      </c>
      <c r="Y14">
        <f t="shared" si="0"/>
        <v>0.57326091527938827</v>
      </c>
      <c r="Z14">
        <f t="shared" si="1"/>
        <v>4.7705048554734759</v>
      </c>
    </row>
    <row r="15" spans="1:26" x14ac:dyDescent="0.25">
      <c r="A15">
        <v>5</v>
      </c>
      <c r="B15">
        <v>1.3245076311872299</v>
      </c>
      <c r="C15">
        <v>5.5460620011659696</v>
      </c>
      <c r="D15">
        <v>1.17278576633649</v>
      </c>
      <c r="E15">
        <v>38.2173943519592</v>
      </c>
      <c r="F15">
        <v>10</v>
      </c>
      <c r="G15">
        <v>34.898734177215097</v>
      </c>
      <c r="H15">
        <v>35</v>
      </c>
      <c r="I15">
        <v>16</v>
      </c>
      <c r="J15">
        <v>51</v>
      </c>
      <c r="K15">
        <v>2757</v>
      </c>
      <c r="L15">
        <v>8.9708858675687697</v>
      </c>
      <c r="M15">
        <v>31</v>
      </c>
      <c r="N15">
        <v>5.4549473584577601</v>
      </c>
      <c r="O15">
        <v>4.0711466425294596</v>
      </c>
      <c r="P15">
        <v>2.7204537124188501</v>
      </c>
      <c r="Q15">
        <v>38.2173943519592</v>
      </c>
      <c r="R15">
        <v>10</v>
      </c>
      <c r="S15">
        <v>5.7468354430379698</v>
      </c>
      <c r="T15">
        <v>6</v>
      </c>
      <c r="U15">
        <v>3</v>
      </c>
      <c r="V15">
        <v>9</v>
      </c>
      <c r="W15">
        <v>454</v>
      </c>
      <c r="X15">
        <v>1.62881390250209</v>
      </c>
      <c r="Y15">
        <f t="shared" si="0"/>
        <v>0.63695657253265336</v>
      </c>
      <c r="Z15">
        <f t="shared" si="1"/>
        <v>4.6509336403659107</v>
      </c>
    </row>
    <row r="16" spans="1:26" x14ac:dyDescent="0.25">
      <c r="A16">
        <v>5</v>
      </c>
      <c r="B16">
        <v>1.5040440751723301</v>
      </c>
      <c r="C16">
        <v>5.4950512882495701</v>
      </c>
      <c r="D16">
        <v>1.1023838963203301</v>
      </c>
      <c r="E16">
        <v>42.039133787155102</v>
      </c>
      <c r="F16">
        <v>11</v>
      </c>
      <c r="G16">
        <v>36.544303797468302</v>
      </c>
      <c r="H16">
        <v>36</v>
      </c>
      <c r="I16">
        <v>19</v>
      </c>
      <c r="J16">
        <v>53</v>
      </c>
      <c r="K16">
        <v>2887</v>
      </c>
      <c r="L16">
        <v>8.9940114953405903</v>
      </c>
      <c r="Y16">
        <f t="shared" si="0"/>
        <v>0.70065222978591835</v>
      </c>
    </row>
    <row r="17" spans="1:26" x14ac:dyDescent="0.25">
      <c r="A17">
        <v>5</v>
      </c>
      <c r="B17">
        <v>1.60907383999362</v>
      </c>
      <c r="C17">
        <v>5.7190373074688203</v>
      </c>
      <c r="D17">
        <v>1.02071593182761</v>
      </c>
      <c r="E17">
        <v>45.860873222351003</v>
      </c>
      <c r="F17">
        <v>12</v>
      </c>
      <c r="G17">
        <v>51.455696202531598</v>
      </c>
      <c r="H17">
        <v>53</v>
      </c>
      <c r="I17">
        <v>24</v>
      </c>
      <c r="J17">
        <v>77</v>
      </c>
      <c r="K17">
        <v>4065</v>
      </c>
      <c r="L17">
        <v>13.996150998696701</v>
      </c>
      <c r="Y17">
        <f t="shared" si="0"/>
        <v>0.76434788703918344</v>
      </c>
    </row>
    <row r="18" spans="1:26" x14ac:dyDescent="0.25">
      <c r="A18">
        <v>5</v>
      </c>
      <c r="B18">
        <v>1.6621677163605399</v>
      </c>
      <c r="C18">
        <v>5.6697873080138201</v>
      </c>
      <c r="D18">
        <v>1.1496945003593799</v>
      </c>
      <c r="E18">
        <v>49.682612657546997</v>
      </c>
      <c r="F18">
        <v>13</v>
      </c>
      <c r="G18">
        <v>53.0126582278481</v>
      </c>
      <c r="H18">
        <v>51</v>
      </c>
      <c r="I18">
        <v>29</v>
      </c>
      <c r="J18">
        <v>80</v>
      </c>
      <c r="K18">
        <v>4188</v>
      </c>
      <c r="L18">
        <v>13.7332589656494</v>
      </c>
      <c r="Y18">
        <f t="shared" si="0"/>
        <v>0.82804354429244997</v>
      </c>
    </row>
    <row r="19" spans="1:26" x14ac:dyDescent="0.25">
      <c r="A19">
        <v>5</v>
      </c>
      <c r="B19">
        <v>1.6978277944509601</v>
      </c>
      <c r="C19">
        <v>5.3977298333086896</v>
      </c>
      <c r="D19">
        <v>0.88747679082914699</v>
      </c>
      <c r="E19">
        <v>53.504352092742899</v>
      </c>
      <c r="F19">
        <v>14</v>
      </c>
      <c r="G19">
        <v>59.481012658227797</v>
      </c>
      <c r="H19">
        <v>61</v>
      </c>
      <c r="I19">
        <v>25</v>
      </c>
      <c r="J19">
        <v>91</v>
      </c>
      <c r="K19">
        <v>4699</v>
      </c>
      <c r="L19">
        <v>17.116389476316701</v>
      </c>
      <c r="Y19">
        <f t="shared" si="0"/>
        <v>0.89173920154571495</v>
      </c>
    </row>
    <row r="20" spans="1:26" x14ac:dyDescent="0.25">
      <c r="A20">
        <v>5</v>
      </c>
      <c r="B20">
        <v>1.7442411908748801</v>
      </c>
      <c r="C20">
        <v>5.4183674140767497</v>
      </c>
      <c r="D20">
        <v>1.00704259005861</v>
      </c>
      <c r="E20">
        <v>57.3260915279388</v>
      </c>
      <c r="F20">
        <v>15</v>
      </c>
      <c r="G20">
        <v>53.924050632911303</v>
      </c>
      <c r="H20">
        <v>53</v>
      </c>
      <c r="I20">
        <v>27</v>
      </c>
      <c r="J20">
        <v>79</v>
      </c>
      <c r="K20">
        <v>4260</v>
      </c>
      <c r="L20">
        <v>13.114654312676</v>
      </c>
      <c r="Y20">
        <f t="shared" si="0"/>
        <v>0.95543485879898005</v>
      </c>
    </row>
    <row r="21" spans="1:26" x14ac:dyDescent="0.25">
      <c r="A21">
        <v>5</v>
      </c>
      <c r="B21">
        <v>1.81745375518339</v>
      </c>
      <c r="C21">
        <v>5.5122323758491101</v>
      </c>
      <c r="D21">
        <v>1.18472264311972</v>
      </c>
      <c r="E21">
        <v>61.147830963134702</v>
      </c>
      <c r="F21">
        <v>16</v>
      </c>
      <c r="G21">
        <v>43.240506329113899</v>
      </c>
      <c r="H21">
        <v>43</v>
      </c>
      <c r="I21">
        <v>25</v>
      </c>
      <c r="J21">
        <v>63</v>
      </c>
      <c r="K21">
        <v>3416</v>
      </c>
      <c r="L21">
        <v>10.298388210799899</v>
      </c>
      <c r="Y21">
        <f t="shared" si="0"/>
        <v>1.019130516052245</v>
      </c>
    </row>
    <row r="22" spans="1:26" x14ac:dyDescent="0.25">
      <c r="A22">
        <v>5</v>
      </c>
      <c r="B22">
        <v>1.91251772016678</v>
      </c>
      <c r="C22">
        <v>5.46661199021601</v>
      </c>
      <c r="D22">
        <v>1.15262722580072</v>
      </c>
      <c r="E22">
        <v>64.969570398330603</v>
      </c>
      <c r="F22">
        <v>17</v>
      </c>
      <c r="G22">
        <v>38.443037974683499</v>
      </c>
      <c r="H22">
        <v>39</v>
      </c>
      <c r="I22">
        <v>19</v>
      </c>
      <c r="J22">
        <v>57</v>
      </c>
      <c r="K22">
        <v>3037</v>
      </c>
      <c r="L22">
        <v>9.4986461052021909</v>
      </c>
      <c r="M22">
        <v>31</v>
      </c>
      <c r="N22">
        <v>5.8572449076656197</v>
      </c>
      <c r="O22">
        <v>3.9092533662150299</v>
      </c>
      <c r="P22">
        <v>3.3079359539792201</v>
      </c>
      <c r="Q22">
        <v>64.969570398330603</v>
      </c>
      <c r="R22">
        <v>17</v>
      </c>
      <c r="S22">
        <v>3.25316455696202</v>
      </c>
      <c r="T22">
        <v>3</v>
      </c>
      <c r="U22">
        <v>2</v>
      </c>
      <c r="V22">
        <v>5</v>
      </c>
      <c r="W22">
        <v>257</v>
      </c>
      <c r="X22">
        <v>0.85437568194979197</v>
      </c>
      <c r="Y22">
        <f t="shared" si="0"/>
        <v>1.08282617330551</v>
      </c>
      <c r="Z22">
        <f t="shared" si="1"/>
        <v>4.7572675120603796</v>
      </c>
    </row>
    <row r="23" spans="1:26" x14ac:dyDescent="0.25">
      <c r="A23">
        <v>5</v>
      </c>
      <c r="B23">
        <v>1.8316605785765601</v>
      </c>
      <c r="C23">
        <v>5.47051864328545</v>
      </c>
      <c r="D23">
        <v>1.0910994699157399</v>
      </c>
      <c r="E23">
        <v>68.791309833526597</v>
      </c>
      <c r="F23">
        <v>18</v>
      </c>
      <c r="G23">
        <v>47.101265822784796</v>
      </c>
      <c r="H23">
        <v>49</v>
      </c>
      <c r="I23">
        <v>22</v>
      </c>
      <c r="J23">
        <v>68</v>
      </c>
      <c r="K23">
        <v>3721</v>
      </c>
      <c r="L23">
        <v>12.3117568750974</v>
      </c>
      <c r="M23">
        <v>31</v>
      </c>
      <c r="N23">
        <v>5.9518924259613497</v>
      </c>
      <c r="O23">
        <v>3.91815036990215</v>
      </c>
      <c r="P23">
        <v>3.2613832852764402</v>
      </c>
      <c r="Q23">
        <v>68.791309833526597</v>
      </c>
      <c r="R23">
        <v>18</v>
      </c>
      <c r="S23">
        <v>4.43037974683544</v>
      </c>
      <c r="T23">
        <v>4</v>
      </c>
      <c r="U23">
        <v>2</v>
      </c>
      <c r="V23">
        <v>7</v>
      </c>
      <c r="W23">
        <v>350</v>
      </c>
      <c r="X23">
        <v>1.2055804464729301</v>
      </c>
      <c r="Y23">
        <f t="shared" si="0"/>
        <v>1.1465218305587765</v>
      </c>
      <c r="Z23">
        <f t="shared" si="1"/>
        <v>4.9087971613856203</v>
      </c>
    </row>
    <row r="24" spans="1:26" x14ac:dyDescent="0.25">
      <c r="A24">
        <v>5</v>
      </c>
      <c r="B24">
        <v>1.87029993338152</v>
      </c>
      <c r="C24">
        <v>5.4230891835643504</v>
      </c>
      <c r="D24">
        <v>0.97184749024028105</v>
      </c>
      <c r="E24">
        <v>72.613049268722506</v>
      </c>
      <c r="F24">
        <v>19</v>
      </c>
      <c r="G24">
        <v>78.177215189873394</v>
      </c>
      <c r="H24">
        <v>78</v>
      </c>
      <c r="I24">
        <v>44</v>
      </c>
      <c r="J24">
        <v>110</v>
      </c>
      <c r="K24">
        <v>6176</v>
      </c>
      <c r="L24">
        <v>16.774338990126001</v>
      </c>
      <c r="M24">
        <v>31</v>
      </c>
      <c r="N24">
        <v>5.99231613646739</v>
      </c>
      <c r="O24">
        <v>4.0398775725893898</v>
      </c>
      <c r="P24">
        <v>3.2753931081374001</v>
      </c>
      <c r="Q24">
        <v>72.613049268722506</v>
      </c>
      <c r="R24">
        <v>19</v>
      </c>
      <c r="S24">
        <v>5.9873417721518898</v>
      </c>
      <c r="T24">
        <v>6</v>
      </c>
      <c r="U24">
        <v>4</v>
      </c>
      <c r="V24">
        <v>8</v>
      </c>
      <c r="W24">
        <v>473</v>
      </c>
      <c r="X24">
        <v>1.2454395875792701</v>
      </c>
      <c r="Y24">
        <f t="shared" si="0"/>
        <v>1.2102174878120417</v>
      </c>
      <c r="Z24">
        <f t="shared" si="1"/>
        <v>4.9204282692639083</v>
      </c>
    </row>
    <row r="25" spans="1:26" x14ac:dyDescent="0.25">
      <c r="Z25">
        <f>AVERAGE(Z5:Z24)</f>
        <v>4.7148795804855617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231107_triple_12_Cell 6_SPB_new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2024-05-25T15:55:45Z</dcterms:created>
  <dcterms:modified xsi:type="dcterms:W3CDTF">2024-05-27T01:30:35Z</dcterms:modified>
</cp:coreProperties>
</file>