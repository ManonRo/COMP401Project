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923A0BFE-DC5F-426C-B522-3F7054A7DCCC}" xr6:coauthVersionLast="45" xr6:coauthVersionMax="45" xr10:uidLastSave="{00000000-0000-0000-0000-000000000000}"/>
  <bookViews>
    <workbookView xWindow="555" yWindow="600" windowWidth="27345" windowHeight="14145" xr2:uid="{00000000-000D-0000-FFFF-FFFF00000000}"/>
  </bookViews>
  <sheets>
    <sheet name="231107_triple_1_Cell 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2" i="1" l="1"/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6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<sst xmlns="http://schemas.openxmlformats.org/spreadsheetml/2006/main" count="46" uniqueCount="33">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</sst>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5504155730533684E-2"/>
                  <c:y val="-0.195800524934383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'231107_triple_1_Cell 6_SPB'!$Y$6:$Y$21</c:f>
              <c:numCache>
                <c:formatCode>General</c:formatCode>
                <c:ptCount val="16"/>
                <c:pt idx="0">
                  <c:v>6.3723576068878171E-2</c:v>
                </c:pt>
                <c:pt idx="1">
                  <c:v>0.12744715213775634</c:v>
                </c:pt>
                <c:pt idx="2">
                  <c:v>0.19117072820663333</c:v>
                </c:pt>
                <c:pt idx="3">
                  <c:v>0.25489430427551169</c:v>
                </c:pt>
                <c:pt idx="4">
                  <c:v>0.31861788034438998</c:v>
                </c:pt>
                <c:pt idx="5">
                  <c:v>0.38234145641326833</c:v>
                </c:pt>
                <c:pt idx="6">
                  <c:v>0.44606503248214668</c:v>
                </c:pt>
                <c:pt idx="7">
                  <c:v>0.50978860855102492</c:v>
                </c:pt>
                <c:pt idx="8">
                  <c:v>0.57351218461990328</c:v>
                </c:pt>
                <c:pt idx="9">
                  <c:v>0.63723576068878163</c:v>
                </c:pt>
                <c:pt idx="10">
                  <c:v>0.70095933675765842</c:v>
                </c:pt>
                <c:pt idx="11">
                  <c:v>0.76468291282653666</c:v>
                </c:pt>
                <c:pt idx="12">
                  <c:v>0.82840648889541491</c:v>
                </c:pt>
                <c:pt idx="13">
                  <c:v>0.89213006496429337</c:v>
                </c:pt>
                <c:pt idx="14">
                  <c:v>0.95585364103317161</c:v>
                </c:pt>
                <c:pt idx="15">
                  <c:v>1.0195772171020498</c:v>
                </c:pt>
              </c:numCache>
            </c:numRef>
          </c:xVal>
          <c:yVal>
            <c:numRef>
              <c:f>'231107_triple_1_Cell 6_SPB'!$Z$6:$Z$21</c:f>
              <c:numCache>
                <c:formatCode>General</c:formatCode>
                <c:ptCount val="16"/>
                <c:pt idx="0">
                  <c:v>4.740488882672131</c:v>
                </c:pt>
                <c:pt idx="1">
                  <c:v>4.8185771591967272</c:v>
                </c:pt>
                <c:pt idx="2">
                  <c:v>4.7187621012408245</c:v>
                </c:pt>
                <c:pt idx="3">
                  <c:v>4.7018488500943727</c:v>
                </c:pt>
                <c:pt idx="4">
                  <c:v>4.5572408374803084</c:v>
                </c:pt>
                <c:pt idx="5">
                  <c:v>4.5325877498178313</c:v>
                </c:pt>
                <c:pt idx="6">
                  <c:v>4.5356390007563165</c:v>
                </c:pt>
                <c:pt idx="7">
                  <c:v>4.7397614429330002</c:v>
                </c:pt>
                <c:pt idx="8">
                  <c:v>4.9556297265903213</c:v>
                </c:pt>
                <c:pt idx="9">
                  <c:v>4.9011816996103494</c:v>
                </c:pt>
                <c:pt idx="10">
                  <c:v>4.885920364729766</c:v>
                </c:pt>
                <c:pt idx="11">
                  <c:v>5.0917306818473058</c:v>
                </c:pt>
                <c:pt idx="12">
                  <c:v>4.8950307802144559</c:v>
                </c:pt>
                <c:pt idx="13">
                  <c:v>4.7817116264761701</c:v>
                </c:pt>
                <c:pt idx="14">
                  <c:v>4.7973053861329591</c:v>
                </c:pt>
                <c:pt idx="15">
                  <c:v>4.9063240198491833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4-444B-A78B-63CB53EEF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022072"/>
        <c:axId val="688013328"/>
      </c:scatterChart>
      <c:valAx>
        <c:axId val="59002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13328"/>
        <c:crosses val="autoZero"/>
        <c:crossBetween val="midCat"/>
      </c:valAx>
      <c:valAx>
        <c:axId val="68801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22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DB267-72AA-4726-9044-41E65FCFC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2" sqref="Z2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5.0874201053572596</v>
      </c>
      <c r="C5">
        <v>2.1602890923909701</v>
      </c>
      <c r="D5">
        <v>1.6118221915580699</v>
      </c>
      <c r="E5">
        <v>0</v>
      </c>
      <c r="F5">
        <v>0</v>
      </c>
      <c r="G5">
        <v>53.051851851851801</v>
      </c>
      <c r="H5">
        <v>52</v>
      </c>
      <c r="I5">
        <v>20</v>
      </c>
      <c r="J5">
        <v>87</v>
      </c>
      <c r="K5">
        <v>7162</v>
      </c>
      <c r="L5">
        <v>16.765422179993202</v>
      </c>
    </row>
    <row r="6" spans="1:26" x14ac:dyDescent="0.25">
      <c r="A6">
        <v>0</v>
      </c>
      <c r="B6">
        <v>5.1361076831864896</v>
      </c>
      <c r="C6">
        <v>2.1574737299927098</v>
      </c>
      <c r="D6">
        <v>1.6943190702770099</v>
      </c>
      <c r="E6">
        <v>3.82341456413269</v>
      </c>
      <c r="F6">
        <v>1</v>
      </c>
      <c r="G6">
        <v>30.370370370370299</v>
      </c>
      <c r="H6">
        <v>29</v>
      </c>
      <c r="I6">
        <v>14</v>
      </c>
      <c r="J6">
        <v>50</v>
      </c>
      <c r="K6">
        <v>4100</v>
      </c>
      <c r="L6">
        <v>9.2015092376121501</v>
      </c>
      <c r="M6">
        <v>2</v>
      </c>
      <c r="N6">
        <v>3.4612090364786199</v>
      </c>
      <c r="O6">
        <v>6.5666828509306798</v>
      </c>
      <c r="P6">
        <v>1.21910932939238</v>
      </c>
      <c r="Q6">
        <v>3.82341456413269</v>
      </c>
      <c r="R6">
        <v>1</v>
      </c>
      <c r="S6">
        <v>308.14074074074</v>
      </c>
      <c r="T6">
        <v>301</v>
      </c>
      <c r="U6">
        <v>109</v>
      </c>
      <c r="V6">
        <v>516</v>
      </c>
      <c r="W6">
        <v>41599</v>
      </c>
      <c r="X6">
        <v>103.520432979307</v>
      </c>
      <c r="Y6">
        <f>E6/60</f>
        <v>6.3723576068878171E-2</v>
      </c>
      <c r="Z6">
        <f>SQRT((B6-N6)^2+(C6-O6)^2+(D6-P6)^2)</f>
        <v>4.740488882672131</v>
      </c>
    </row>
    <row r="7" spans="1:26" x14ac:dyDescent="0.25">
      <c r="A7">
        <v>0</v>
      </c>
      <c r="B7">
        <v>5.0789275773607097</v>
      </c>
      <c r="C7">
        <v>2.1553727350863001</v>
      </c>
      <c r="D7">
        <v>1.63209930686836</v>
      </c>
      <c r="E7">
        <v>7.64682912826538</v>
      </c>
      <c r="F7">
        <v>2</v>
      </c>
      <c r="G7">
        <v>39.844444444444399</v>
      </c>
      <c r="H7">
        <v>38</v>
      </c>
      <c r="I7">
        <v>18</v>
      </c>
      <c r="J7">
        <v>64</v>
      </c>
      <c r="K7">
        <v>5379</v>
      </c>
      <c r="L7">
        <v>11.5026711152701</v>
      </c>
      <c r="M7">
        <v>2</v>
      </c>
      <c r="N7">
        <v>3.4509189765179298</v>
      </c>
      <c r="O7">
        <v>6.6704903137020599</v>
      </c>
      <c r="P7">
        <v>1.20549986243683</v>
      </c>
      <c r="Q7">
        <v>7.64682912826538</v>
      </c>
      <c r="R7">
        <v>2</v>
      </c>
      <c r="S7">
        <v>229.51111111111101</v>
      </c>
      <c r="T7">
        <v>219</v>
      </c>
      <c r="U7">
        <v>92</v>
      </c>
      <c r="V7">
        <v>392</v>
      </c>
      <c r="W7">
        <v>30984</v>
      </c>
      <c r="X7">
        <v>75.227105573292604</v>
      </c>
      <c r="Y7">
        <f t="shared" ref="Y7:Y21" si="0">E7/60</f>
        <v>0.12744715213775634</v>
      </c>
      <c r="Z7">
        <f t="shared" ref="Z7:Z21" si="1">SQRT((B7-N7)^2+(C7-O7)^2+(D7-P7)^2)</f>
        <v>4.8185771591967272</v>
      </c>
    </row>
    <row r="8" spans="1:26" x14ac:dyDescent="0.25">
      <c r="A8">
        <v>0</v>
      </c>
      <c r="B8">
        <v>5.0728512893801003</v>
      </c>
      <c r="C8">
        <v>2.0789817328351798</v>
      </c>
      <c r="D8">
        <v>1.6724946809626899</v>
      </c>
      <c r="E8">
        <v>11.470243692398</v>
      </c>
      <c r="F8">
        <v>3</v>
      </c>
      <c r="G8">
        <v>47.740740740740698</v>
      </c>
      <c r="H8">
        <v>47</v>
      </c>
      <c r="I8">
        <v>19</v>
      </c>
      <c r="J8">
        <v>77</v>
      </c>
      <c r="K8">
        <v>6445</v>
      </c>
      <c r="L8">
        <v>14.410797653129601</v>
      </c>
      <c r="M8">
        <v>2</v>
      </c>
      <c r="N8">
        <v>3.3977220256709502</v>
      </c>
      <c r="O8">
        <v>6.4858484219671704</v>
      </c>
      <c r="P8">
        <v>1.47203595156732</v>
      </c>
      <c r="Q8">
        <v>11.470243692398</v>
      </c>
      <c r="R8">
        <v>3</v>
      </c>
      <c r="S8">
        <v>138.24444444444401</v>
      </c>
      <c r="T8">
        <v>136</v>
      </c>
      <c r="U8">
        <v>53</v>
      </c>
      <c r="V8">
        <v>229</v>
      </c>
      <c r="W8">
        <v>18663</v>
      </c>
      <c r="X8">
        <v>46.133075949013097</v>
      </c>
      <c r="Y8">
        <f t="shared" si="0"/>
        <v>0.19117072820663333</v>
      </c>
      <c r="Z8">
        <f t="shared" si="1"/>
        <v>4.7187621012408245</v>
      </c>
    </row>
    <row r="9" spans="1:26" x14ac:dyDescent="0.25">
      <c r="A9">
        <v>0</v>
      </c>
      <c r="B9">
        <v>5.0159326141248801</v>
      </c>
      <c r="C9">
        <v>1.97511518600331</v>
      </c>
      <c r="D9">
        <v>1.5961729449791699</v>
      </c>
      <c r="E9">
        <v>15.2936582565307</v>
      </c>
      <c r="F9">
        <v>4</v>
      </c>
      <c r="G9">
        <v>36.896296296296299</v>
      </c>
      <c r="H9">
        <v>36</v>
      </c>
      <c r="I9">
        <v>15</v>
      </c>
      <c r="J9">
        <v>62</v>
      </c>
      <c r="K9">
        <v>4981</v>
      </c>
      <c r="L9">
        <v>11.660159284436</v>
      </c>
      <c r="M9">
        <v>2</v>
      </c>
      <c r="N9">
        <v>3.49715142979995</v>
      </c>
      <c r="O9">
        <v>6.40526899416595</v>
      </c>
      <c r="P9">
        <v>1.1785324784336</v>
      </c>
      <c r="Q9">
        <v>15.2936582565307</v>
      </c>
      <c r="R9">
        <v>4</v>
      </c>
      <c r="S9">
        <v>154.94814814814799</v>
      </c>
      <c r="T9">
        <v>150</v>
      </c>
      <c r="U9">
        <v>52</v>
      </c>
      <c r="V9">
        <v>262</v>
      </c>
      <c r="W9">
        <v>20918</v>
      </c>
      <c r="X9">
        <v>52.212870621000597</v>
      </c>
      <c r="Y9">
        <f t="shared" si="0"/>
        <v>0.25489430427551169</v>
      </c>
      <c r="Z9">
        <f t="shared" si="1"/>
        <v>4.7018488500943727</v>
      </c>
    </row>
    <row r="10" spans="1:26" x14ac:dyDescent="0.25">
      <c r="A10">
        <v>0</v>
      </c>
      <c r="B10">
        <v>4.8992762932040996</v>
      </c>
      <c r="C10">
        <v>1.92398701043478</v>
      </c>
      <c r="D10">
        <v>1.4666824144199</v>
      </c>
      <c r="E10">
        <v>19.117072820663399</v>
      </c>
      <c r="F10">
        <v>5</v>
      </c>
      <c r="G10">
        <v>21.2</v>
      </c>
      <c r="H10">
        <v>21</v>
      </c>
      <c r="I10">
        <v>8</v>
      </c>
      <c r="J10">
        <v>33</v>
      </c>
      <c r="K10">
        <v>2862</v>
      </c>
      <c r="L10">
        <v>6.5708537803686502</v>
      </c>
      <c r="M10">
        <v>2</v>
      </c>
      <c r="N10">
        <v>3.4525415181243999</v>
      </c>
      <c r="O10">
        <v>6.2449624510737101</v>
      </c>
      <c r="P10">
        <v>1.5343121620796301</v>
      </c>
      <c r="Q10">
        <v>19.117072820663399</v>
      </c>
      <c r="R10">
        <v>5</v>
      </c>
      <c r="S10">
        <v>80.362962962962897</v>
      </c>
      <c r="T10">
        <v>78</v>
      </c>
      <c r="U10">
        <v>27</v>
      </c>
      <c r="V10">
        <v>131</v>
      </c>
      <c r="W10">
        <v>10849</v>
      </c>
      <c r="X10">
        <v>25.744324807849399</v>
      </c>
      <c r="Y10">
        <f t="shared" si="0"/>
        <v>0.31861788034438998</v>
      </c>
      <c r="Z10">
        <f t="shared" si="1"/>
        <v>4.5572408374803084</v>
      </c>
    </row>
    <row r="11" spans="1:26" x14ac:dyDescent="0.25">
      <c r="A11">
        <v>0</v>
      </c>
      <c r="B11">
        <v>5.0091996892294199</v>
      </c>
      <c r="C11">
        <v>1.9520193650833999</v>
      </c>
      <c r="D11">
        <v>1.5454019860594499</v>
      </c>
      <c r="E11">
        <v>22.9404873847961</v>
      </c>
      <c r="F11">
        <v>6</v>
      </c>
      <c r="G11">
        <v>10.6296296296296</v>
      </c>
      <c r="H11">
        <v>10</v>
      </c>
      <c r="I11">
        <v>4</v>
      </c>
      <c r="J11">
        <v>18</v>
      </c>
      <c r="K11">
        <v>1435</v>
      </c>
      <c r="L11">
        <v>3.6318260296389799</v>
      </c>
      <c r="M11">
        <v>2</v>
      </c>
      <c r="N11">
        <v>3.4907868271504801</v>
      </c>
      <c r="O11">
        <v>6.22194946227473</v>
      </c>
      <c r="P11">
        <v>1.6258448550507401</v>
      </c>
      <c r="Q11">
        <v>22.9404873847961</v>
      </c>
      <c r="R11">
        <v>6</v>
      </c>
      <c r="S11">
        <v>32.2814814814814</v>
      </c>
      <c r="T11">
        <v>31</v>
      </c>
      <c r="U11">
        <v>10</v>
      </c>
      <c r="V11">
        <v>57</v>
      </c>
      <c r="W11">
        <v>4358</v>
      </c>
      <c r="X11">
        <v>11.8313092422541</v>
      </c>
      <c r="Y11">
        <f t="shared" si="0"/>
        <v>0.38234145641326833</v>
      </c>
      <c r="Z11">
        <f t="shared" si="1"/>
        <v>4.5325877498178313</v>
      </c>
    </row>
    <row r="12" spans="1:26" x14ac:dyDescent="0.25">
      <c r="A12">
        <v>0</v>
      </c>
      <c r="B12">
        <v>4.9884691808099797</v>
      </c>
      <c r="C12">
        <v>1.94080312587197</v>
      </c>
      <c r="D12">
        <v>1.57236269978162</v>
      </c>
      <c r="E12">
        <v>26.763901948928801</v>
      </c>
      <c r="F12">
        <v>7</v>
      </c>
      <c r="G12">
        <v>8.8444444444444397</v>
      </c>
      <c r="H12">
        <v>9</v>
      </c>
      <c r="I12">
        <v>3</v>
      </c>
      <c r="J12">
        <v>15</v>
      </c>
      <c r="K12">
        <v>1194</v>
      </c>
      <c r="L12">
        <v>3.1525082803557298</v>
      </c>
      <c r="M12">
        <v>2</v>
      </c>
      <c r="N12">
        <v>3.4714046355588</v>
      </c>
      <c r="O12">
        <v>6.2146683139256496</v>
      </c>
      <c r="P12">
        <v>1.6402793035429499</v>
      </c>
      <c r="Q12">
        <v>26.763901948928801</v>
      </c>
      <c r="R12">
        <v>7</v>
      </c>
      <c r="S12">
        <v>26.9777777777777</v>
      </c>
      <c r="T12">
        <v>26</v>
      </c>
      <c r="U12">
        <v>9</v>
      </c>
      <c r="V12">
        <v>48</v>
      </c>
      <c r="W12">
        <v>3642</v>
      </c>
      <c r="X12">
        <v>9.8855137997261995</v>
      </c>
      <c r="Y12">
        <f t="shared" si="0"/>
        <v>0.44606503248214668</v>
      </c>
      <c r="Z12">
        <f t="shared" si="1"/>
        <v>4.5356390007563165</v>
      </c>
    </row>
    <row r="13" spans="1:26" x14ac:dyDescent="0.25">
      <c r="A13">
        <v>0</v>
      </c>
      <c r="B13">
        <v>4.9528790632334898</v>
      </c>
      <c r="C13">
        <v>1.78910350166397</v>
      </c>
      <c r="D13">
        <v>1.50547920526183</v>
      </c>
      <c r="E13">
        <v>30.587316513061499</v>
      </c>
      <c r="F13">
        <v>8</v>
      </c>
      <c r="G13">
        <v>15.829629629629601</v>
      </c>
      <c r="H13">
        <v>15</v>
      </c>
      <c r="I13">
        <v>5</v>
      </c>
      <c r="J13">
        <v>30</v>
      </c>
      <c r="K13">
        <v>2137</v>
      </c>
      <c r="L13">
        <v>6.2563886640404203</v>
      </c>
      <c r="M13">
        <v>2</v>
      </c>
      <c r="N13">
        <v>3.50842357969981</v>
      </c>
      <c r="O13">
        <v>6.2981058350430601</v>
      </c>
      <c r="P13">
        <v>1.72407666541569</v>
      </c>
      <c r="Q13">
        <v>30.587316513061499</v>
      </c>
      <c r="R13">
        <v>8</v>
      </c>
      <c r="S13">
        <v>20.718518518518501</v>
      </c>
      <c r="T13">
        <v>19</v>
      </c>
      <c r="U13">
        <v>7</v>
      </c>
      <c r="V13">
        <v>37</v>
      </c>
      <c r="W13">
        <v>2797</v>
      </c>
      <c r="X13">
        <v>7.6701124277617501</v>
      </c>
      <c r="Y13">
        <f t="shared" si="0"/>
        <v>0.50978860855102492</v>
      </c>
      <c r="Z13">
        <f t="shared" si="1"/>
        <v>4.7397614429330002</v>
      </c>
    </row>
    <row r="14" spans="1:26" x14ac:dyDescent="0.25">
      <c r="A14">
        <v>0</v>
      </c>
      <c r="B14">
        <v>4.9964878079199702</v>
      </c>
      <c r="C14">
        <v>1.71314060846174</v>
      </c>
      <c r="D14">
        <v>1.1436280009347599</v>
      </c>
      <c r="E14">
        <v>34.4107310771942</v>
      </c>
      <c r="F14">
        <v>9</v>
      </c>
      <c r="G14">
        <v>16.488888888888798</v>
      </c>
      <c r="H14">
        <v>16</v>
      </c>
      <c r="I14">
        <v>4</v>
      </c>
      <c r="J14">
        <v>30</v>
      </c>
      <c r="K14">
        <v>2226</v>
      </c>
      <c r="L14">
        <v>6.4436323614829396</v>
      </c>
      <c r="M14">
        <v>2</v>
      </c>
      <c r="N14">
        <v>3.49966418525853</v>
      </c>
      <c r="O14">
        <v>6.4130479348218898</v>
      </c>
      <c r="P14">
        <v>1.62180804373719</v>
      </c>
      <c r="Q14">
        <v>34.4107310771942</v>
      </c>
      <c r="R14">
        <v>9</v>
      </c>
      <c r="S14">
        <v>34.481481481481403</v>
      </c>
      <c r="T14">
        <v>32</v>
      </c>
      <c r="U14">
        <v>11</v>
      </c>
      <c r="V14">
        <v>65</v>
      </c>
      <c r="W14">
        <v>4655</v>
      </c>
      <c r="X14">
        <v>13.831529982956701</v>
      </c>
      <c r="Y14">
        <f t="shared" si="0"/>
        <v>0.57351218461990328</v>
      </c>
      <c r="Z14">
        <f t="shared" si="1"/>
        <v>4.9556297265903213</v>
      </c>
    </row>
    <row r="15" spans="1:26" x14ac:dyDescent="0.25">
      <c r="A15">
        <v>0</v>
      </c>
      <c r="B15">
        <v>4.9998507724712704</v>
      </c>
      <c r="C15">
        <v>1.69185984922981</v>
      </c>
      <c r="D15">
        <v>0.91747042539693702</v>
      </c>
      <c r="E15">
        <v>38.234145641326897</v>
      </c>
      <c r="F15">
        <v>10</v>
      </c>
      <c r="G15">
        <v>17.229629629629599</v>
      </c>
      <c r="H15">
        <v>16</v>
      </c>
      <c r="I15">
        <v>5</v>
      </c>
      <c r="J15">
        <v>35</v>
      </c>
      <c r="K15">
        <v>2326</v>
      </c>
      <c r="L15">
        <v>7.4552803492345401</v>
      </c>
      <c r="M15">
        <v>2</v>
      </c>
      <c r="N15">
        <v>3.4183243634823701</v>
      </c>
      <c r="O15">
        <v>6.2686938722698198</v>
      </c>
      <c r="P15">
        <v>1.67440278420416</v>
      </c>
      <c r="Q15">
        <v>38.234145641326897</v>
      </c>
      <c r="R15">
        <v>10</v>
      </c>
      <c r="S15">
        <v>22.770370370370301</v>
      </c>
      <c r="T15">
        <v>22</v>
      </c>
      <c r="U15">
        <v>8</v>
      </c>
      <c r="V15">
        <v>41</v>
      </c>
      <c r="W15">
        <v>3074</v>
      </c>
      <c r="X15">
        <v>8.5927257857426298</v>
      </c>
      <c r="Y15">
        <f t="shared" si="0"/>
        <v>0.63723576068878163</v>
      </c>
      <c r="Z15">
        <f t="shared" si="1"/>
        <v>4.9011816996103494</v>
      </c>
    </row>
    <row r="16" spans="1:26" x14ac:dyDescent="0.25">
      <c r="A16">
        <v>0</v>
      </c>
      <c r="B16">
        <v>4.9407069751780703</v>
      </c>
      <c r="C16">
        <v>1.7204162484844301</v>
      </c>
      <c r="D16">
        <v>0.88065445708613499</v>
      </c>
      <c r="E16">
        <v>42.057560205459502</v>
      </c>
      <c r="F16">
        <v>11</v>
      </c>
      <c r="G16">
        <v>11.9037037037037</v>
      </c>
      <c r="H16">
        <v>11</v>
      </c>
      <c r="I16">
        <v>4</v>
      </c>
      <c r="J16">
        <v>23</v>
      </c>
      <c r="K16">
        <v>1607</v>
      </c>
      <c r="L16">
        <v>4.8682248351818798</v>
      </c>
      <c r="M16">
        <v>2</v>
      </c>
      <c r="N16">
        <v>3.5259214479521002</v>
      </c>
      <c r="O16">
        <v>6.3040495727834598</v>
      </c>
      <c r="P16">
        <v>1.80850426756648</v>
      </c>
      <c r="Q16">
        <v>42.057560205459502</v>
      </c>
      <c r="R16">
        <v>11</v>
      </c>
      <c r="S16">
        <v>14.4</v>
      </c>
      <c r="T16">
        <v>14</v>
      </c>
      <c r="U16">
        <v>4</v>
      </c>
      <c r="V16">
        <v>26</v>
      </c>
      <c r="W16">
        <v>1944</v>
      </c>
      <c r="X16">
        <v>5.5344241567003696</v>
      </c>
      <c r="Y16">
        <f t="shared" si="0"/>
        <v>0.70095933675765842</v>
      </c>
      <c r="Z16">
        <f t="shared" si="1"/>
        <v>4.885920364729766</v>
      </c>
    </row>
    <row r="17" spans="1:26" x14ac:dyDescent="0.25">
      <c r="A17">
        <v>0</v>
      </c>
      <c r="B17">
        <v>4.9395823549899696</v>
      </c>
      <c r="C17">
        <v>1.65556155175884</v>
      </c>
      <c r="D17">
        <v>0.77606858810399004</v>
      </c>
      <c r="E17">
        <v>45.8809747695922</v>
      </c>
      <c r="F17">
        <v>12</v>
      </c>
      <c r="G17">
        <v>4.7111111111111104</v>
      </c>
      <c r="H17">
        <v>4</v>
      </c>
      <c r="I17">
        <v>2</v>
      </c>
      <c r="J17">
        <v>9</v>
      </c>
      <c r="K17">
        <v>636</v>
      </c>
      <c r="L17">
        <v>1.8360676127547499</v>
      </c>
      <c r="M17">
        <v>2</v>
      </c>
      <c r="N17">
        <v>3.5836607206463298</v>
      </c>
      <c r="O17">
        <v>6.4585577859354002</v>
      </c>
      <c r="P17">
        <v>1.78523905560187</v>
      </c>
      <c r="Q17">
        <v>45.8809747695922</v>
      </c>
      <c r="R17">
        <v>12</v>
      </c>
      <c r="S17">
        <v>10.096296296296201</v>
      </c>
      <c r="T17">
        <v>10</v>
      </c>
      <c r="U17">
        <v>3</v>
      </c>
      <c r="V17">
        <v>18</v>
      </c>
      <c r="W17">
        <v>1363</v>
      </c>
      <c r="X17">
        <v>3.78700463303886</v>
      </c>
      <c r="Y17">
        <f t="shared" si="0"/>
        <v>0.76468291282653666</v>
      </c>
      <c r="Z17">
        <f t="shared" si="1"/>
        <v>5.0917306818473058</v>
      </c>
    </row>
    <row r="18" spans="1:26" x14ac:dyDescent="0.25">
      <c r="A18">
        <v>0</v>
      </c>
      <c r="B18">
        <v>4.7665754224884704</v>
      </c>
      <c r="C18">
        <v>1.6313655240456599</v>
      </c>
      <c r="D18">
        <v>0.66611090893783798</v>
      </c>
      <c r="E18">
        <v>49.704389333724897</v>
      </c>
      <c r="F18">
        <v>13</v>
      </c>
      <c r="G18">
        <v>8.8296296296296202</v>
      </c>
      <c r="H18">
        <v>8</v>
      </c>
      <c r="I18">
        <v>3</v>
      </c>
      <c r="J18">
        <v>17</v>
      </c>
      <c r="K18">
        <v>1192</v>
      </c>
      <c r="L18">
        <v>3.3691771012242802</v>
      </c>
      <c r="M18">
        <v>2</v>
      </c>
      <c r="N18">
        <v>3.4843823283450299</v>
      </c>
      <c r="O18">
        <v>6.2319477639438698</v>
      </c>
      <c r="P18">
        <v>1.7394003678029599</v>
      </c>
      <c r="Q18">
        <v>49.704389333724897</v>
      </c>
      <c r="R18">
        <v>13</v>
      </c>
      <c r="S18">
        <v>13.2962962962962</v>
      </c>
      <c r="T18">
        <v>12</v>
      </c>
      <c r="U18">
        <v>5</v>
      </c>
      <c r="V18">
        <v>23</v>
      </c>
      <c r="W18">
        <v>1795</v>
      </c>
      <c r="X18">
        <v>4.4134700093569901</v>
      </c>
      <c r="Y18">
        <f t="shared" si="0"/>
        <v>0.82840648889541491</v>
      </c>
      <c r="Z18">
        <f t="shared" si="1"/>
        <v>4.8950307802144559</v>
      </c>
    </row>
    <row r="19" spans="1:26" x14ac:dyDescent="0.25">
      <c r="A19">
        <v>0</v>
      </c>
      <c r="B19">
        <v>4.7466749769443801</v>
      </c>
      <c r="C19">
        <v>1.68758612352084</v>
      </c>
      <c r="D19">
        <v>0.58307562585126904</v>
      </c>
      <c r="E19">
        <v>53.527803897857602</v>
      </c>
      <c r="F19">
        <v>14</v>
      </c>
      <c r="G19">
        <v>6.8592592592592503</v>
      </c>
      <c r="H19">
        <v>7</v>
      </c>
      <c r="I19">
        <v>2</v>
      </c>
      <c r="J19">
        <v>12</v>
      </c>
      <c r="K19">
        <v>926</v>
      </c>
      <c r="L19">
        <v>2.3409494277595599</v>
      </c>
      <c r="M19">
        <v>2</v>
      </c>
      <c r="N19">
        <v>3.4279356151221099</v>
      </c>
      <c r="O19">
        <v>6.1264758744787899</v>
      </c>
      <c r="P19">
        <v>1.7755312238499701</v>
      </c>
      <c r="Q19">
        <v>53.527803897857602</v>
      </c>
      <c r="R19">
        <v>14</v>
      </c>
      <c r="S19">
        <v>11.6296296296296</v>
      </c>
      <c r="T19">
        <v>11</v>
      </c>
      <c r="U19">
        <v>4</v>
      </c>
      <c r="V19">
        <v>20</v>
      </c>
      <c r="W19">
        <v>1570</v>
      </c>
      <c r="X19">
        <v>4.1872955343100404</v>
      </c>
      <c r="Y19">
        <f t="shared" si="0"/>
        <v>0.89213006496429337</v>
      </c>
      <c r="Z19">
        <f t="shared" si="1"/>
        <v>4.7817116264761701</v>
      </c>
    </row>
    <row r="20" spans="1:26" x14ac:dyDescent="0.25">
      <c r="A20">
        <v>0</v>
      </c>
      <c r="B20">
        <v>4.7747980724425396</v>
      </c>
      <c r="C20">
        <v>1.58721134028794</v>
      </c>
      <c r="D20">
        <v>0.65654439252241603</v>
      </c>
      <c r="E20">
        <v>57.3512184619903</v>
      </c>
      <c r="F20">
        <v>15</v>
      </c>
      <c r="G20">
        <v>10.177777777777701</v>
      </c>
      <c r="H20">
        <v>10</v>
      </c>
      <c r="I20">
        <v>3</v>
      </c>
      <c r="J20">
        <v>18</v>
      </c>
      <c r="K20">
        <v>1374</v>
      </c>
      <c r="L20">
        <v>3.6566575282089202</v>
      </c>
      <c r="M20">
        <v>2</v>
      </c>
      <c r="N20">
        <v>3.3914657840581999</v>
      </c>
      <c r="O20">
        <v>6.0212712590360802</v>
      </c>
      <c r="P20">
        <v>1.8563957936071001</v>
      </c>
      <c r="Q20">
        <v>57.3512184619903</v>
      </c>
      <c r="R20">
        <v>15</v>
      </c>
      <c r="S20">
        <v>15.466666666666599</v>
      </c>
      <c r="T20">
        <v>15</v>
      </c>
      <c r="U20">
        <v>5</v>
      </c>
      <c r="V20">
        <v>25</v>
      </c>
      <c r="W20">
        <v>2088</v>
      </c>
      <c r="X20">
        <v>4.9892421582273201</v>
      </c>
      <c r="Y20">
        <f t="shared" si="0"/>
        <v>0.95585364103317161</v>
      </c>
      <c r="Z20">
        <f t="shared" si="1"/>
        <v>4.7973053861329591</v>
      </c>
    </row>
    <row r="21" spans="1:26" x14ac:dyDescent="0.25">
      <c r="A21">
        <v>0</v>
      </c>
      <c r="B21">
        <v>4.6864987788636698</v>
      </c>
      <c r="C21">
        <v>1.55423456788498</v>
      </c>
      <c r="D21">
        <v>0.53417920556792098</v>
      </c>
      <c r="E21">
        <v>61.174633026122997</v>
      </c>
      <c r="F21">
        <v>16</v>
      </c>
      <c r="G21">
        <v>9.3185185185185109</v>
      </c>
      <c r="H21">
        <v>9</v>
      </c>
      <c r="I21">
        <v>3</v>
      </c>
      <c r="J21">
        <v>16</v>
      </c>
      <c r="K21">
        <v>1258</v>
      </c>
      <c r="L21">
        <v>3.26823666878057</v>
      </c>
      <c r="M21">
        <v>2</v>
      </c>
      <c r="N21">
        <v>3.3935011052597899</v>
      </c>
      <c r="O21">
        <v>6.1385397085410496</v>
      </c>
      <c r="P21">
        <v>1.7107499774122401</v>
      </c>
      <c r="Q21">
        <v>61.174633026122997</v>
      </c>
      <c r="R21">
        <v>16</v>
      </c>
      <c r="S21">
        <v>14.607407407407401</v>
      </c>
      <c r="T21">
        <v>15</v>
      </c>
      <c r="U21">
        <v>5</v>
      </c>
      <c r="V21">
        <v>25</v>
      </c>
      <c r="W21">
        <v>1972</v>
      </c>
      <c r="X21">
        <v>4.9521536040247298</v>
      </c>
      <c r="Y21">
        <f t="shared" si="0"/>
        <v>1.0195772171020498</v>
      </c>
      <c r="Z21">
        <f t="shared" si="1"/>
        <v>4.9063240198491833</v>
      </c>
    </row>
    <row r="22" spans="1:26" x14ac:dyDescent="0.25">
      <c r="A22">
        <v>0</v>
      </c>
      <c r="B22">
        <v>4.6487144225193404</v>
      </c>
      <c r="C22">
        <v>1.57393259923552</v>
      </c>
      <c r="D22">
        <v>0.56318487473927903</v>
      </c>
      <c r="E22">
        <v>64.998047590255695</v>
      </c>
      <c r="F22">
        <v>17</v>
      </c>
      <c r="G22">
        <v>6.48888888888888</v>
      </c>
      <c r="H22">
        <v>6</v>
      </c>
      <c r="I22">
        <v>2</v>
      </c>
      <c r="J22">
        <v>12</v>
      </c>
      <c r="K22">
        <v>876</v>
      </c>
      <c r="L22">
        <v>2.5447243250590499</v>
      </c>
      <c r="Z22">
        <f>AVERAGE(Z6:Z21)</f>
        <v>4.7849837693526265</v>
      </c>
    </row>
    <row r="23" spans="1:26" x14ac:dyDescent="0.25">
      <c r="A23">
        <v>0</v>
      </c>
      <c r="B23">
        <v>4.6221841725035802</v>
      </c>
      <c r="C23">
        <v>1.6003155035758301</v>
      </c>
      <c r="D23">
        <v>0.45387842638256598</v>
      </c>
      <c r="E23">
        <v>68.821462154388399</v>
      </c>
      <c r="F23">
        <v>18</v>
      </c>
      <c r="G23">
        <v>5.9925925925925903</v>
      </c>
      <c r="H23">
        <v>6</v>
      </c>
      <c r="I23">
        <v>2</v>
      </c>
      <c r="J23">
        <v>11</v>
      </c>
      <c r="K23">
        <v>809</v>
      </c>
      <c r="L23">
        <v>2.4295945742998102</v>
      </c>
    </row>
    <row r="24" spans="1:26" x14ac:dyDescent="0.25">
      <c r="A24">
        <v>0</v>
      </c>
      <c r="B24">
        <v>4.6078922665899702</v>
      </c>
      <c r="C24">
        <v>1.61895406030654</v>
      </c>
      <c r="D24">
        <v>0.43552815973654202</v>
      </c>
      <c r="E24">
        <v>72.644876718521104</v>
      </c>
      <c r="F24">
        <v>19</v>
      </c>
      <c r="G24">
        <v>5.5481481481481403</v>
      </c>
      <c r="H24">
        <v>5</v>
      </c>
      <c r="I24">
        <v>2</v>
      </c>
      <c r="J24">
        <v>10</v>
      </c>
      <c r="K24">
        <v>749</v>
      </c>
      <c r="L24">
        <v>2.21163314587166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2023-12-01T02:23:13Z</dcterms:created>
  <dcterms:modified xsi:type="dcterms:W3CDTF">2024-02-05T22:26:10Z</dcterms:modified>
</cp:coreProperties>
</file>