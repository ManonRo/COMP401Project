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Metaphase\"/>
    </mc:Choice>
  </mc:AlternateContent>
  <xr:revisionPtr revIDLastSave="0" documentId="13_ncr:1_{079A04F8-296E-4425-A4D4-D71F92B000FF}" xr6:coauthVersionLast="45" xr6:coauthVersionMax="45" xr10:uidLastSave="{00000000-0000-0000-0000-000000000000}"/>
  <bookViews>
    <workbookView xWindow="420" yWindow="600" windowWidth="27345" windowHeight="14145" xr2:uid="{00000000-000D-0000-FFFF-FFFF00000000}"/>
  </bookViews>
  <sheets>
    <sheet name="231107_triple_6_Cell 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0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<sst xmlns="http://schemas.openxmlformats.org/spreadsheetml/2006/main" count="46" uniqueCount="33">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</sst>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5655293088363956E-2"/>
                  <c:y val="0.19109981044036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'231107_triple_6_Cell 4_SPB'!$Y$5:$Y$19</c:f>
              <c:numCache>
                <c:formatCode>General</c:formatCode>
                <c:ptCount val="15"/>
                <c:pt idx="0">
                  <c:v>0</c:v>
                </c:pt>
                <c:pt idx="1">
                  <c:v>6.3709445794423336E-2</c:v>
                </c:pt>
                <c:pt idx="2">
                  <c:v>0.12741889158884684</c:v>
                </c:pt>
                <c:pt idx="3">
                  <c:v>0.19112833738327001</c:v>
                </c:pt>
                <c:pt idx="4">
                  <c:v>0.25483778317769334</c:v>
                </c:pt>
                <c:pt idx="5">
                  <c:v>0.31854722897211668</c:v>
                </c:pt>
                <c:pt idx="6">
                  <c:v>0.38225667476654002</c:v>
                </c:pt>
                <c:pt idx="7">
                  <c:v>0.44596612056096335</c:v>
                </c:pt>
                <c:pt idx="8">
                  <c:v>0.50967556635538669</c:v>
                </c:pt>
                <c:pt idx="9">
                  <c:v>0.57338501214980997</c:v>
                </c:pt>
                <c:pt idx="10">
                  <c:v>0.63709445794423336</c:v>
                </c:pt>
                <c:pt idx="11">
                  <c:v>0.70080390373865664</c:v>
                </c:pt>
                <c:pt idx="12">
                  <c:v>0.76451334953308003</c:v>
                </c:pt>
                <c:pt idx="13">
                  <c:v>0.82822279532750331</c:v>
                </c:pt>
                <c:pt idx="14">
                  <c:v>0.89193224112192671</c:v>
                </c:pt>
              </c:numCache>
            </c:numRef>
          </c:xVal>
          <c:yVal>
            <c:numRef>
              <c:f>'231107_triple_6_Cell 4_SPB'!$Z$5:$Z$19</c:f>
              <c:numCache>
                <c:formatCode>General</c:formatCode>
                <c:ptCount val="15"/>
                <c:pt idx="0">
                  <c:v>1.4874494806292267</c:v>
                </c:pt>
                <c:pt idx="1">
                  <c:v>1.474977527386361</c:v>
                </c:pt>
                <c:pt idx="2">
                  <c:v>1.4948997527397458</c:v>
                </c:pt>
                <c:pt idx="3">
                  <c:v>1.5084622370276419</c:v>
                </c:pt>
                <c:pt idx="4">
                  <c:v>1.482674720468186</c:v>
                </c:pt>
                <c:pt idx="5">
                  <c:v>1.5163106636275514</c:v>
                </c:pt>
                <c:pt idx="6">
                  <c:v>1.5495234192945904</c:v>
                </c:pt>
                <c:pt idx="7">
                  <c:v>1.4743370916320908</c:v>
                </c:pt>
                <c:pt idx="8">
                  <c:v>1.5314150038027814</c:v>
                </c:pt>
                <c:pt idx="9">
                  <c:v>1.4775723599449027</c:v>
                </c:pt>
                <c:pt idx="10">
                  <c:v>1.5245473423098637</c:v>
                </c:pt>
                <c:pt idx="11">
                  <c:v>1.5416143715443482</c:v>
                </c:pt>
                <c:pt idx="12">
                  <c:v>1.5126866425734884</c:v>
                </c:pt>
                <c:pt idx="13">
                  <c:v>1.5059505113465406</c:v>
                </c:pt>
                <c:pt idx="14">
                  <c:v>1.4649180071626784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2-4711-BD6D-CEC2F4F8E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457696"/>
        <c:axId val="585458024"/>
      </c:scatterChart>
      <c:valAx>
        <c:axId val="58545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58024"/>
        <c:crosses val="autoZero"/>
        <c:crossBetween val="midCat"/>
      </c:valAx>
      <c:valAx>
        <c:axId val="58545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5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CF413-4909-4A34-AC48-874033F8E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20" sqref="Z20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4.4175392009430103</v>
      </c>
      <c r="C5">
        <v>4.3212286619252396</v>
      </c>
      <c r="D5">
        <v>1.65821810141163</v>
      </c>
      <c r="E5">
        <v>0</v>
      </c>
      <c r="F5">
        <v>0</v>
      </c>
      <c r="G5">
        <v>227.807407407407</v>
      </c>
      <c r="H5">
        <v>217</v>
      </c>
      <c r="I5">
        <v>90</v>
      </c>
      <c r="J5">
        <v>380</v>
      </c>
      <c r="K5">
        <v>30754</v>
      </c>
      <c r="L5">
        <v>72.727204080574595</v>
      </c>
      <c r="M5">
        <v>5</v>
      </c>
      <c r="N5">
        <v>3.7432984488926402</v>
      </c>
      <c r="O5">
        <v>3.0023602147608499</v>
      </c>
      <c r="P5">
        <v>1.7942011326063301</v>
      </c>
      <c r="Q5">
        <v>0</v>
      </c>
      <c r="R5">
        <v>0</v>
      </c>
      <c r="S5">
        <v>53.377777777777702</v>
      </c>
      <c r="T5">
        <v>52</v>
      </c>
      <c r="U5">
        <v>20</v>
      </c>
      <c r="V5">
        <v>86</v>
      </c>
      <c r="W5">
        <v>7206</v>
      </c>
      <c r="X5">
        <v>16.845596734851298</v>
      </c>
      <c r="Y5">
        <f>E5/60</f>
        <v>0</v>
      </c>
      <c r="Z5">
        <f>SQRT((B5-N5)^2+(C5-O5)^2+(D5-P5)^2)</f>
        <v>1.4874494806292267</v>
      </c>
    </row>
    <row r="6" spans="1:26" x14ac:dyDescent="0.25">
      <c r="A6">
        <v>0</v>
      </c>
      <c r="B6">
        <v>4.6003529122435598</v>
      </c>
      <c r="C6">
        <v>4.2254120903338297</v>
      </c>
      <c r="D6">
        <v>1.5829917009801799</v>
      </c>
      <c r="E6">
        <v>3.8225667476653999</v>
      </c>
      <c r="F6">
        <v>1</v>
      </c>
      <c r="G6">
        <v>173.49629629629601</v>
      </c>
      <c r="H6">
        <v>160</v>
      </c>
      <c r="I6">
        <v>75</v>
      </c>
      <c r="J6">
        <v>296</v>
      </c>
      <c r="K6">
        <v>23422</v>
      </c>
      <c r="L6">
        <v>56.235097405535399</v>
      </c>
      <c r="M6">
        <v>5</v>
      </c>
      <c r="N6">
        <v>3.7421945980556202</v>
      </c>
      <c r="O6">
        <v>3.0350389459363099</v>
      </c>
      <c r="P6">
        <v>1.7317693578445701</v>
      </c>
      <c r="Q6">
        <v>3.8225667476653999</v>
      </c>
      <c r="R6">
        <v>1</v>
      </c>
      <c r="S6">
        <v>43.140740740740704</v>
      </c>
      <c r="T6">
        <v>42</v>
      </c>
      <c r="U6">
        <v>16</v>
      </c>
      <c r="V6">
        <v>70</v>
      </c>
      <c r="W6">
        <v>5824</v>
      </c>
      <c r="X6">
        <v>13.8019915083462</v>
      </c>
      <c r="Y6">
        <f t="shared" ref="Y6:Y19" si="0">E6/60</f>
        <v>6.3709445794423336E-2</v>
      </c>
      <c r="Z6">
        <f t="shared" ref="Z6:Z19" si="1">SQRT((B6-N6)^2+(C6-O6)^2+(D6-P6)^2)</f>
        <v>1.474977527386361</v>
      </c>
    </row>
    <row r="7" spans="1:26" x14ac:dyDescent="0.25">
      <c r="A7">
        <v>0</v>
      </c>
      <c r="B7">
        <v>4.5935096656900098</v>
      </c>
      <c r="C7">
        <v>4.27265919612951</v>
      </c>
      <c r="D7">
        <v>1.57356190836874</v>
      </c>
      <c r="E7">
        <v>7.6451334953308097</v>
      </c>
      <c r="F7">
        <v>2</v>
      </c>
      <c r="G7">
        <v>128.348148148148</v>
      </c>
      <c r="H7">
        <v>125</v>
      </c>
      <c r="I7">
        <v>44</v>
      </c>
      <c r="J7">
        <v>215</v>
      </c>
      <c r="K7">
        <v>17327</v>
      </c>
      <c r="L7">
        <v>43.817177596408399</v>
      </c>
      <c r="M7">
        <v>5</v>
      </c>
      <c r="N7">
        <v>3.7196123861885599</v>
      </c>
      <c r="O7">
        <v>3.0941286672838002</v>
      </c>
      <c r="P7">
        <v>1.8600834750962201</v>
      </c>
      <c r="Q7">
        <v>7.6451334953308097</v>
      </c>
      <c r="R7">
        <v>2</v>
      </c>
      <c r="S7">
        <v>33.711111111111101</v>
      </c>
      <c r="T7">
        <v>32</v>
      </c>
      <c r="U7">
        <v>12</v>
      </c>
      <c r="V7">
        <v>58</v>
      </c>
      <c r="W7">
        <v>4551</v>
      </c>
      <c r="X7">
        <v>11.5447647026607</v>
      </c>
      <c r="Y7">
        <f t="shared" si="0"/>
        <v>0.12741889158884684</v>
      </c>
      <c r="Z7">
        <f t="shared" si="1"/>
        <v>1.4948997527397458</v>
      </c>
    </row>
    <row r="8" spans="1:26" x14ac:dyDescent="0.25">
      <c r="A8">
        <v>0</v>
      </c>
      <c r="B8">
        <v>4.5728386447700604</v>
      </c>
      <c r="C8">
        <v>4.3127359192482304</v>
      </c>
      <c r="D8">
        <v>1.5999974538769699</v>
      </c>
      <c r="E8">
        <v>11.4677002429962</v>
      </c>
      <c r="F8">
        <v>3</v>
      </c>
      <c r="G8">
        <v>83.733333333333306</v>
      </c>
      <c r="H8">
        <v>77</v>
      </c>
      <c r="I8">
        <v>29</v>
      </c>
      <c r="J8">
        <v>157</v>
      </c>
      <c r="K8">
        <v>11304</v>
      </c>
      <c r="L8">
        <v>34.0213278146026</v>
      </c>
      <c r="M8">
        <v>5</v>
      </c>
      <c r="N8">
        <v>3.78012078656581</v>
      </c>
      <c r="O8">
        <v>3.05194667463938</v>
      </c>
      <c r="P8">
        <v>1.8397206244324</v>
      </c>
      <c r="Q8">
        <v>11.4677002429962</v>
      </c>
      <c r="R8">
        <v>3</v>
      </c>
      <c r="S8">
        <v>16.496296296296201</v>
      </c>
      <c r="T8">
        <v>16</v>
      </c>
      <c r="U8">
        <v>5</v>
      </c>
      <c r="V8">
        <v>29</v>
      </c>
      <c r="W8">
        <v>2227</v>
      </c>
      <c r="X8">
        <v>6.5436240746971599</v>
      </c>
      <c r="Y8">
        <f t="shared" si="0"/>
        <v>0.19112833738327001</v>
      </c>
      <c r="Z8">
        <f t="shared" si="1"/>
        <v>1.5084622370276419</v>
      </c>
    </row>
    <row r="9" spans="1:26" x14ac:dyDescent="0.25">
      <c r="A9">
        <v>0</v>
      </c>
      <c r="B9">
        <v>4.5488760227886704</v>
      </c>
      <c r="C9">
        <v>4.3371195632103197</v>
      </c>
      <c r="D9">
        <v>1.60869505848102</v>
      </c>
      <c r="E9">
        <v>15.2902669906616</v>
      </c>
      <c r="F9">
        <v>4</v>
      </c>
      <c r="G9">
        <v>72.4444444444444</v>
      </c>
      <c r="H9">
        <v>71</v>
      </c>
      <c r="I9">
        <v>23</v>
      </c>
      <c r="J9">
        <v>133</v>
      </c>
      <c r="K9">
        <v>9780</v>
      </c>
      <c r="L9">
        <v>29.847789654573699</v>
      </c>
      <c r="M9">
        <v>5</v>
      </c>
      <c r="N9">
        <v>3.6775250294246802</v>
      </c>
      <c r="O9">
        <v>3.1436541290979099</v>
      </c>
      <c r="P9">
        <v>1.72998821846079</v>
      </c>
      <c r="Q9">
        <v>15.2902669906616</v>
      </c>
      <c r="R9">
        <v>4</v>
      </c>
      <c r="S9">
        <v>11.3777777777777</v>
      </c>
      <c r="T9">
        <v>11</v>
      </c>
      <c r="U9">
        <v>2</v>
      </c>
      <c r="V9">
        <v>22</v>
      </c>
      <c r="W9">
        <v>1536</v>
      </c>
      <c r="X9">
        <v>5.0635759098708899</v>
      </c>
      <c r="Y9">
        <f t="shared" si="0"/>
        <v>0.25483778317769334</v>
      </c>
      <c r="Z9">
        <f t="shared" si="1"/>
        <v>1.482674720468186</v>
      </c>
    </row>
    <row r="10" spans="1:26" x14ac:dyDescent="0.25">
      <c r="A10">
        <v>0</v>
      </c>
      <c r="B10">
        <v>4.5141707824780397</v>
      </c>
      <c r="C10">
        <v>4.46543320255957</v>
      </c>
      <c r="D10">
        <v>1.7567880746020299</v>
      </c>
      <c r="E10">
        <v>19.112833738327001</v>
      </c>
      <c r="F10">
        <v>5</v>
      </c>
      <c r="G10">
        <v>51.422222222222203</v>
      </c>
      <c r="H10">
        <v>47</v>
      </c>
      <c r="I10">
        <v>17</v>
      </c>
      <c r="J10">
        <v>99</v>
      </c>
      <c r="K10">
        <v>6942</v>
      </c>
      <c r="L10">
        <v>21.7401433032482</v>
      </c>
      <c r="M10">
        <v>5</v>
      </c>
      <c r="N10">
        <v>3.6961617016825898</v>
      </c>
      <c r="O10">
        <v>3.1897374918905599</v>
      </c>
      <c r="P10">
        <v>1.80835963796303</v>
      </c>
      <c r="Q10">
        <v>19.112833738327001</v>
      </c>
      <c r="R10">
        <v>5</v>
      </c>
      <c r="S10">
        <v>9.5111111111111093</v>
      </c>
      <c r="T10">
        <v>9</v>
      </c>
      <c r="U10">
        <v>3</v>
      </c>
      <c r="V10">
        <v>19</v>
      </c>
      <c r="W10">
        <v>1284</v>
      </c>
      <c r="X10">
        <v>3.8957816196317601</v>
      </c>
      <c r="Y10">
        <f t="shared" si="0"/>
        <v>0.31854722897211668</v>
      </c>
      <c r="Z10">
        <f t="shared" si="1"/>
        <v>1.5163106636275514</v>
      </c>
    </row>
    <row r="11" spans="1:26" x14ac:dyDescent="0.25">
      <c r="A11">
        <v>0</v>
      </c>
      <c r="B11">
        <v>4.3920859369565699</v>
      </c>
      <c r="C11">
        <v>4.45637014500406</v>
      </c>
      <c r="D11">
        <v>1.54433522075894</v>
      </c>
      <c r="E11">
        <v>22.9354004859924</v>
      </c>
      <c r="F11">
        <v>6</v>
      </c>
      <c r="G11">
        <v>41.4</v>
      </c>
      <c r="H11">
        <v>39</v>
      </c>
      <c r="I11">
        <v>11</v>
      </c>
      <c r="J11">
        <v>79</v>
      </c>
      <c r="K11">
        <v>5589</v>
      </c>
      <c r="L11">
        <v>18.106319503702199</v>
      </c>
      <c r="M11">
        <v>5</v>
      </c>
      <c r="N11">
        <v>3.75556136717787</v>
      </c>
      <c r="O11">
        <v>3.0848596457368598</v>
      </c>
      <c r="P11">
        <v>1.8831836373263999</v>
      </c>
      <c r="Q11">
        <v>22.9354004859924</v>
      </c>
      <c r="R11">
        <v>6</v>
      </c>
      <c r="S11">
        <v>9.3407407407407401</v>
      </c>
      <c r="T11">
        <v>9</v>
      </c>
      <c r="U11">
        <v>3</v>
      </c>
      <c r="V11">
        <v>17</v>
      </c>
      <c r="W11">
        <v>1261</v>
      </c>
      <c r="X11">
        <v>3.7379916448222099</v>
      </c>
      <c r="Y11">
        <f t="shared" si="0"/>
        <v>0.38225667476654002</v>
      </c>
      <c r="Z11">
        <f t="shared" si="1"/>
        <v>1.5495234192945904</v>
      </c>
    </row>
    <row r="12" spans="1:26" x14ac:dyDescent="0.25">
      <c r="A12">
        <v>0</v>
      </c>
      <c r="B12">
        <v>4.2762718017471402</v>
      </c>
      <c r="C12">
        <v>4.4698820066443901</v>
      </c>
      <c r="D12">
        <v>1.5596764128009999</v>
      </c>
      <c r="E12">
        <v>26.757967233657801</v>
      </c>
      <c r="F12">
        <v>7</v>
      </c>
      <c r="G12">
        <v>29.5037037037037</v>
      </c>
      <c r="H12">
        <v>28</v>
      </c>
      <c r="I12">
        <v>8</v>
      </c>
      <c r="J12">
        <v>57</v>
      </c>
      <c r="K12">
        <v>3983</v>
      </c>
      <c r="L12">
        <v>12.7892644310637</v>
      </c>
      <c r="M12">
        <v>5</v>
      </c>
      <c r="N12">
        <v>3.6571043469655602</v>
      </c>
      <c r="O12">
        <v>3.1476989323195599</v>
      </c>
      <c r="P12">
        <v>1.7649407318396799</v>
      </c>
      <c r="Q12">
        <v>26.757967233657801</v>
      </c>
      <c r="R12">
        <v>7</v>
      </c>
      <c r="S12">
        <v>5.2518518518518498</v>
      </c>
      <c r="T12">
        <v>5</v>
      </c>
      <c r="U12">
        <v>2</v>
      </c>
      <c r="V12">
        <v>10</v>
      </c>
      <c r="W12">
        <v>709</v>
      </c>
      <c r="X12">
        <v>2.2217329477957399</v>
      </c>
      <c r="Y12">
        <f t="shared" si="0"/>
        <v>0.44596612056096335</v>
      </c>
      <c r="Z12">
        <f t="shared" si="1"/>
        <v>1.4743370916320908</v>
      </c>
    </row>
    <row r="13" spans="1:26" x14ac:dyDescent="0.25">
      <c r="A13">
        <v>0</v>
      </c>
      <c r="B13">
        <v>4.4060764109003303</v>
      </c>
      <c r="C13">
        <v>4.5430720240592404</v>
      </c>
      <c r="D13">
        <v>1.7800806975475501</v>
      </c>
      <c r="E13">
        <v>30.5805339813232</v>
      </c>
      <c r="F13">
        <v>8</v>
      </c>
      <c r="G13">
        <v>15.607407407407401</v>
      </c>
      <c r="H13">
        <v>14</v>
      </c>
      <c r="I13">
        <v>6</v>
      </c>
      <c r="J13">
        <v>30</v>
      </c>
      <c r="K13">
        <v>2107</v>
      </c>
      <c r="L13">
        <v>6.3104938618575401</v>
      </c>
      <c r="M13">
        <v>5</v>
      </c>
      <c r="N13">
        <v>3.6491219300344402</v>
      </c>
      <c r="O13">
        <v>3.2119607305451798</v>
      </c>
      <c r="P13">
        <v>1.79994403182578</v>
      </c>
      <c r="Q13">
        <v>30.5805339813232</v>
      </c>
      <c r="R13">
        <v>8</v>
      </c>
      <c r="S13">
        <v>8.2814814814814799</v>
      </c>
      <c r="T13">
        <v>8</v>
      </c>
      <c r="U13">
        <v>2</v>
      </c>
      <c r="V13">
        <v>16</v>
      </c>
      <c r="W13">
        <v>1118</v>
      </c>
      <c r="X13">
        <v>3.55689754939515</v>
      </c>
      <c r="Y13">
        <f t="shared" si="0"/>
        <v>0.50967556635538669</v>
      </c>
      <c r="Z13">
        <f t="shared" si="1"/>
        <v>1.5314150038027814</v>
      </c>
    </row>
    <row r="14" spans="1:26" x14ac:dyDescent="0.25">
      <c r="A14">
        <v>0</v>
      </c>
      <c r="B14">
        <v>4.4496883675736996</v>
      </c>
      <c r="C14">
        <v>4.5934096194875398</v>
      </c>
      <c r="D14">
        <v>1.8053677496812599</v>
      </c>
      <c r="E14">
        <v>34.403100728988598</v>
      </c>
      <c r="F14">
        <v>9</v>
      </c>
      <c r="G14">
        <v>20.9481481481481</v>
      </c>
      <c r="H14">
        <v>20</v>
      </c>
      <c r="I14">
        <v>9</v>
      </c>
      <c r="J14">
        <v>35</v>
      </c>
      <c r="K14">
        <v>2828</v>
      </c>
      <c r="L14">
        <v>6.6706290049118904</v>
      </c>
      <c r="M14">
        <v>5</v>
      </c>
      <c r="N14">
        <v>3.6824558663366198</v>
      </c>
      <c r="O14">
        <v>3.3427646998477099</v>
      </c>
      <c r="P14">
        <v>1.6308350796801201</v>
      </c>
      <c r="Q14">
        <v>34.403100728988598</v>
      </c>
      <c r="R14">
        <v>9</v>
      </c>
      <c r="S14">
        <v>8.2888888888888896</v>
      </c>
      <c r="T14">
        <v>8</v>
      </c>
      <c r="U14">
        <v>3</v>
      </c>
      <c r="V14">
        <v>13</v>
      </c>
      <c r="W14">
        <v>1119</v>
      </c>
      <c r="X14">
        <v>2.4184201907248202</v>
      </c>
      <c r="Y14">
        <f t="shared" si="0"/>
        <v>0.57338501214980997</v>
      </c>
      <c r="Z14">
        <f t="shared" si="1"/>
        <v>1.4775723599449027</v>
      </c>
    </row>
    <row r="15" spans="1:26" x14ac:dyDescent="0.25">
      <c r="A15">
        <v>0</v>
      </c>
      <c r="B15">
        <v>4.4353716238504699</v>
      </c>
      <c r="C15">
        <v>4.6833950213594298</v>
      </c>
      <c r="D15">
        <v>1.7514801021414801</v>
      </c>
      <c r="E15">
        <v>38.225667476654003</v>
      </c>
      <c r="F15">
        <v>10</v>
      </c>
      <c r="G15">
        <v>19.7777777777777</v>
      </c>
      <c r="H15">
        <v>19</v>
      </c>
      <c r="I15">
        <v>8</v>
      </c>
      <c r="J15">
        <v>33</v>
      </c>
      <c r="K15">
        <v>2670</v>
      </c>
      <c r="L15">
        <v>6.6373734540222404</v>
      </c>
      <c r="M15">
        <v>5</v>
      </c>
      <c r="N15">
        <v>3.7084336356766099</v>
      </c>
      <c r="O15">
        <v>3.3434699742501701</v>
      </c>
      <c r="P15">
        <v>1.7313150724351301</v>
      </c>
      <c r="Q15">
        <v>38.225667476654003</v>
      </c>
      <c r="R15">
        <v>10</v>
      </c>
      <c r="S15">
        <v>10.051851851851801</v>
      </c>
      <c r="T15">
        <v>10</v>
      </c>
      <c r="U15">
        <v>4</v>
      </c>
      <c r="V15">
        <v>15</v>
      </c>
      <c r="W15">
        <v>1357</v>
      </c>
      <c r="X15">
        <v>2.8397984964212499</v>
      </c>
      <c r="Y15">
        <f t="shared" si="0"/>
        <v>0.63709445794423336</v>
      </c>
      <c r="Z15">
        <f t="shared" si="1"/>
        <v>1.5245473423098637</v>
      </c>
    </row>
    <row r="16" spans="1:26" x14ac:dyDescent="0.25">
      <c r="A16">
        <v>0</v>
      </c>
      <c r="B16">
        <v>4.5191585337796498</v>
      </c>
      <c r="C16">
        <v>4.7798524333865897</v>
      </c>
      <c r="D16">
        <v>1.7771013817080099</v>
      </c>
      <c r="E16">
        <v>42.048234224319401</v>
      </c>
      <c r="F16">
        <v>11</v>
      </c>
      <c r="G16">
        <v>18.259259259259199</v>
      </c>
      <c r="H16">
        <v>18</v>
      </c>
      <c r="I16">
        <v>7</v>
      </c>
      <c r="J16">
        <v>28</v>
      </c>
      <c r="K16">
        <v>2465</v>
      </c>
      <c r="L16">
        <v>5.4100003627375397</v>
      </c>
      <c r="M16">
        <v>5</v>
      </c>
      <c r="N16">
        <v>3.8339248935817301</v>
      </c>
      <c r="O16">
        <v>3.4041369987082599</v>
      </c>
      <c r="P16">
        <v>1.6569482640580799</v>
      </c>
      <c r="Q16">
        <v>42.048234224319401</v>
      </c>
      <c r="R16">
        <v>11</v>
      </c>
      <c r="S16">
        <v>9.7407407407407405</v>
      </c>
      <c r="T16">
        <v>10</v>
      </c>
      <c r="U16">
        <v>4</v>
      </c>
      <c r="V16">
        <v>16</v>
      </c>
      <c r="W16">
        <v>1315</v>
      </c>
      <c r="X16">
        <v>3.0712022123751299</v>
      </c>
      <c r="Y16">
        <f t="shared" si="0"/>
        <v>0.70080390373865664</v>
      </c>
      <c r="Z16">
        <f t="shared" si="1"/>
        <v>1.5416143715443482</v>
      </c>
    </row>
    <row r="17" spans="1:26" x14ac:dyDescent="0.25">
      <c r="A17">
        <v>0</v>
      </c>
      <c r="B17">
        <v>4.4894212484528904</v>
      </c>
      <c r="C17">
        <v>4.7824474960125496</v>
      </c>
      <c r="D17">
        <v>1.7346982430995399</v>
      </c>
      <c r="E17">
        <v>45.870800971984799</v>
      </c>
      <c r="F17">
        <v>12</v>
      </c>
      <c r="G17">
        <v>12.237037037037</v>
      </c>
      <c r="H17">
        <v>12</v>
      </c>
      <c r="I17">
        <v>3</v>
      </c>
      <c r="J17">
        <v>23</v>
      </c>
      <c r="K17">
        <v>1652</v>
      </c>
      <c r="L17">
        <v>4.9688693680882201</v>
      </c>
      <c r="M17">
        <v>5</v>
      </c>
      <c r="N17">
        <v>3.9055636740183202</v>
      </c>
      <c r="O17">
        <v>3.39514361373638</v>
      </c>
      <c r="P17">
        <v>1.8854269716720999</v>
      </c>
      <c r="Q17">
        <v>45.870800971984799</v>
      </c>
      <c r="R17">
        <v>12</v>
      </c>
      <c r="S17">
        <v>7.5259259259259199</v>
      </c>
      <c r="T17">
        <v>7</v>
      </c>
      <c r="U17">
        <v>2</v>
      </c>
      <c r="V17">
        <v>13</v>
      </c>
      <c r="W17">
        <v>1016</v>
      </c>
      <c r="X17">
        <v>2.8041271013351401</v>
      </c>
      <c r="Y17">
        <f t="shared" si="0"/>
        <v>0.76451334953308003</v>
      </c>
      <c r="Z17">
        <f t="shared" si="1"/>
        <v>1.5126866425734884</v>
      </c>
    </row>
    <row r="18" spans="1:26" x14ac:dyDescent="0.25">
      <c r="A18">
        <v>0</v>
      </c>
      <c r="B18">
        <v>4.4593501748916404</v>
      </c>
      <c r="C18">
        <v>4.70514304538424</v>
      </c>
      <c r="D18">
        <v>1.7310526583616901</v>
      </c>
      <c r="E18">
        <v>49.693367719650198</v>
      </c>
      <c r="F18">
        <v>13</v>
      </c>
      <c r="G18">
        <v>16.3925925925925</v>
      </c>
      <c r="H18">
        <v>16</v>
      </c>
      <c r="I18">
        <v>5</v>
      </c>
      <c r="J18">
        <v>30</v>
      </c>
      <c r="K18">
        <v>2213</v>
      </c>
      <c r="L18">
        <v>6.42185668076631</v>
      </c>
      <c r="M18">
        <v>5</v>
      </c>
      <c r="N18">
        <v>3.82517054212668</v>
      </c>
      <c r="O18">
        <v>3.3393024049286799</v>
      </c>
      <c r="P18">
        <v>1.74456120717171</v>
      </c>
      <c r="Q18">
        <v>49.693367719650198</v>
      </c>
      <c r="R18">
        <v>13</v>
      </c>
      <c r="S18">
        <v>8.1925925925925895</v>
      </c>
      <c r="T18">
        <v>8</v>
      </c>
      <c r="U18">
        <v>3</v>
      </c>
      <c r="V18">
        <v>15</v>
      </c>
      <c r="W18">
        <v>1106</v>
      </c>
      <c r="X18">
        <v>3.0481124482144</v>
      </c>
      <c r="Y18">
        <f t="shared" si="0"/>
        <v>0.82822279532750331</v>
      </c>
      <c r="Z18">
        <f t="shared" si="1"/>
        <v>1.5059505113465406</v>
      </c>
    </row>
    <row r="19" spans="1:26" x14ac:dyDescent="0.25">
      <c r="A19">
        <v>0</v>
      </c>
      <c r="B19">
        <v>4.43736631427387</v>
      </c>
      <c r="C19">
        <v>4.6264088042936997</v>
      </c>
      <c r="D19">
        <v>1.8843550719851501</v>
      </c>
      <c r="E19">
        <v>53.515934467315603</v>
      </c>
      <c r="F19">
        <v>14</v>
      </c>
      <c r="G19">
        <v>14.051851851851801</v>
      </c>
      <c r="H19">
        <v>13</v>
      </c>
      <c r="I19">
        <v>4</v>
      </c>
      <c r="J19">
        <v>26</v>
      </c>
      <c r="K19">
        <v>1897</v>
      </c>
      <c r="L19">
        <v>5.5775650260377301</v>
      </c>
      <c r="M19">
        <v>5</v>
      </c>
      <c r="N19">
        <v>3.79049471326613</v>
      </c>
      <c r="O19">
        <v>3.3174736869797101</v>
      </c>
      <c r="P19">
        <v>2.00364781351358</v>
      </c>
      <c r="Q19">
        <v>53.515934467315603</v>
      </c>
      <c r="R19">
        <v>14</v>
      </c>
      <c r="S19">
        <v>3.55555555555555</v>
      </c>
      <c r="T19">
        <v>3</v>
      </c>
      <c r="U19">
        <v>1</v>
      </c>
      <c r="V19">
        <v>6</v>
      </c>
      <c r="W19">
        <v>480</v>
      </c>
      <c r="X19">
        <v>1.1438783639193399</v>
      </c>
      <c r="Y19">
        <f t="shared" si="0"/>
        <v>0.89193224112192671</v>
      </c>
      <c r="Z19">
        <f t="shared" si="1"/>
        <v>1.4649180071626784</v>
      </c>
    </row>
    <row r="20" spans="1:26" x14ac:dyDescent="0.25">
      <c r="A20">
        <v>0</v>
      </c>
      <c r="B20">
        <v>4.4048034208708504</v>
      </c>
      <c r="C20">
        <v>4.6864899800364901</v>
      </c>
      <c r="D20">
        <v>1.70901655854152</v>
      </c>
      <c r="E20">
        <v>57.338501214981001</v>
      </c>
      <c r="F20">
        <v>15</v>
      </c>
      <c r="G20">
        <v>22.407407407407401</v>
      </c>
      <c r="H20">
        <v>21</v>
      </c>
      <c r="I20">
        <v>6</v>
      </c>
      <c r="J20">
        <v>42</v>
      </c>
      <c r="K20">
        <v>3025</v>
      </c>
      <c r="L20">
        <v>9.4049021008626301</v>
      </c>
      <c r="Z20">
        <f>AVERAGE(Z5:Z19)</f>
        <v>1.5031559420993332</v>
      </c>
    </row>
    <row r="21" spans="1:26" x14ac:dyDescent="0.25">
      <c r="A21">
        <v>0</v>
      </c>
      <c r="B21">
        <v>4.4398934148795997</v>
      </c>
      <c r="C21">
        <v>4.67067896739501</v>
      </c>
      <c r="D21">
        <v>1.7270343790456499</v>
      </c>
      <c r="E21">
        <v>61.161067962646399</v>
      </c>
      <c r="F21">
        <v>16</v>
      </c>
      <c r="G21">
        <v>16.5555555555555</v>
      </c>
      <c r="H21">
        <v>16</v>
      </c>
      <c r="I21">
        <v>6</v>
      </c>
      <c r="J21">
        <v>30</v>
      </c>
      <c r="K21">
        <v>2235</v>
      </c>
      <c r="L21">
        <v>6.3111683364607103</v>
      </c>
    </row>
    <row r="22" spans="1:26" x14ac:dyDescent="0.25">
      <c r="A22">
        <v>0</v>
      </c>
      <c r="B22">
        <v>4.4134664591361199</v>
      </c>
      <c r="C22">
        <v>4.6289794667754398</v>
      </c>
      <c r="D22">
        <v>1.76562834301465</v>
      </c>
      <c r="E22">
        <v>64.983634710311804</v>
      </c>
      <c r="F22">
        <v>17</v>
      </c>
      <c r="G22">
        <v>11.9481481481481</v>
      </c>
      <c r="H22">
        <v>11</v>
      </c>
      <c r="I22">
        <v>4</v>
      </c>
      <c r="J22">
        <v>23</v>
      </c>
      <c r="K22">
        <v>1613</v>
      </c>
      <c r="L22">
        <v>4.8735020944342899</v>
      </c>
    </row>
    <row r="23" spans="1:26" x14ac:dyDescent="0.25">
      <c r="A23">
        <v>0</v>
      </c>
      <c r="B23">
        <v>4.4013637680174904</v>
      </c>
      <c r="C23">
        <v>4.6584584577986696</v>
      </c>
      <c r="D23">
        <v>1.75736901746929</v>
      </c>
      <c r="E23">
        <v>68.806201457977295</v>
      </c>
      <c r="F23">
        <v>18</v>
      </c>
      <c r="G23">
        <v>12.7629629629629</v>
      </c>
      <c r="H23">
        <v>12</v>
      </c>
      <c r="I23">
        <v>4</v>
      </c>
      <c r="J23">
        <v>24</v>
      </c>
      <c r="K23">
        <v>1723</v>
      </c>
      <c r="L23">
        <v>5.3269343868030301</v>
      </c>
    </row>
    <row r="24" spans="1:26" x14ac:dyDescent="0.25">
      <c r="A24">
        <v>0</v>
      </c>
      <c r="B24">
        <v>4.3827752305730501</v>
      </c>
      <c r="C24">
        <v>4.6106429144270402</v>
      </c>
      <c r="D24">
        <v>1.66791776475038</v>
      </c>
      <c r="E24">
        <v>72.6287682056427</v>
      </c>
      <c r="F24">
        <v>19</v>
      </c>
      <c r="G24">
        <v>14.5407407407407</v>
      </c>
      <c r="H24">
        <v>14</v>
      </c>
      <c r="I24">
        <v>5</v>
      </c>
      <c r="J24">
        <v>29</v>
      </c>
      <c r="K24">
        <v>1963</v>
      </c>
      <c r="L24">
        <v>6.1203879534666497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231107_triple_6_Cell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2023-11-30T23:33:13Z</dcterms:created>
  <dcterms:modified xsi:type="dcterms:W3CDTF">2024-02-05T22:37:23Z</dcterms:modified>
</cp:coreProperties>
</file>