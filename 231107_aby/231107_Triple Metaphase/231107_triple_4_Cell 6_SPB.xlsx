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833A5B18-1E6C-4723-9484-F728CD020E18}" xr6:coauthVersionLast="45" xr6:coauthVersionMax="45" xr10:uidLastSave="{00000000-0000-0000-0000-000000000000}"/>
  <bookViews>
    <workbookView xWindow="300" yWindow="315" windowWidth="27345" windowHeight="14145" xr2:uid="{00000000-000D-0000-FFFF-FFFF00000000}"/>
  </bookViews>
  <sheets>
    <sheet name="231107_triple_4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9" i="1" l="1"/>
  <c r="Z6" i="1" l="1"/>
  <c r="Z7" i="1"/>
  <c r="Z8" i="1"/>
  <c r="Z5" i="1"/>
  <c r="Y6" i="1"/>
  <c r="Y7" i="1"/>
  <c r="Y8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<sst xmlns="http://schemas.openxmlformats.org/spreadsheetml/2006/main" count="46" uniqueCount="33">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</sst>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'231107_triple_4_Cell 6_SPB'!$Y$5:$Y$8</c:f>
              <c:numCache>
                <c:formatCode>General</c:formatCode>
                <c:ptCount val="4"/>
                <c:pt idx="0">
                  <c:v>0</c:v>
                </c:pt>
                <c:pt idx="1">
                  <c:v>6.3695681095123163E-2</c:v>
                </c:pt>
                <c:pt idx="2">
                  <c:v>0.12739136219024649</c:v>
                </c:pt>
                <c:pt idx="3">
                  <c:v>0.19108704328536832</c:v>
                </c:pt>
              </c:numCache>
            </c:numRef>
          </c:xVal>
          <c:yVal>
            <c:numRef>
              <c:f>'231107_triple_4_Cell 6_SPB'!$Z$5:$Z$8</c:f>
              <c:numCache>
                <c:formatCode>General</c:formatCode>
                <c:ptCount val="4"/>
                <c:pt idx="0">
                  <c:v>1.5104346965392474</c:v>
                </c:pt>
                <c:pt idx="1">
                  <c:v>1.6376649225328941</c:v>
                </c:pt>
                <c:pt idx="2">
                  <c:v>1.5001413122927172</c:v>
                </c:pt>
                <c:pt idx="3">
                  <c:v>1.5406761215401996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8-41CB-BAB5-F4EC6329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87288"/>
        <c:axId val="674387616"/>
      </c:scatterChart>
      <c:valAx>
        <c:axId val="674387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87616"/>
        <c:crosses val="autoZero"/>
        <c:crossBetween val="midCat"/>
      </c:valAx>
      <c:valAx>
        <c:axId val="6743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87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BA458-FB61-48BD-A29C-960550C91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topLeftCell="D1" workbookViewId="0">
      <selection activeCell="Z9" sqref="Z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5</v>
      </c>
      <c r="B5">
        <v>4.2005526161056697</v>
      </c>
      <c r="C5">
        <v>3.0614175560935601</v>
      </c>
      <c r="D5">
        <v>2.0707640599329902</v>
      </c>
      <c r="E5">
        <v>0</v>
      </c>
      <c r="F5">
        <v>0</v>
      </c>
      <c r="G5">
        <v>75.807407407407396</v>
      </c>
      <c r="H5">
        <v>73</v>
      </c>
      <c r="I5">
        <v>29</v>
      </c>
      <c r="J5">
        <v>129</v>
      </c>
      <c r="K5">
        <v>10234</v>
      </c>
      <c r="L5">
        <v>24.8231043966104</v>
      </c>
      <c r="M5">
        <v>2</v>
      </c>
      <c r="N5">
        <v>3.7720238258340801</v>
      </c>
      <c r="O5">
        <v>4.2386440530667597</v>
      </c>
      <c r="P5">
        <v>2.9145139181505701</v>
      </c>
      <c r="Q5">
        <v>0</v>
      </c>
      <c r="R5">
        <v>0</v>
      </c>
      <c r="S5">
        <v>25.459259259259198</v>
      </c>
      <c r="T5">
        <v>25</v>
      </c>
      <c r="U5">
        <v>7</v>
      </c>
      <c r="V5">
        <v>43</v>
      </c>
      <c r="W5">
        <v>3437</v>
      </c>
      <c r="X5">
        <v>9.1069622070830096</v>
      </c>
      <c r="Y5">
        <f>E5/60</f>
        <v>0</v>
      </c>
      <c r="Z5">
        <f>SQRT((B5-N5)^2+(C5-O5)^2+(D5-P5)^2)</f>
        <v>1.5104346965392474</v>
      </c>
    </row>
    <row r="6" spans="1:26" x14ac:dyDescent="0.25">
      <c r="A6">
        <v>5</v>
      </c>
      <c r="B6">
        <v>4.25720131562717</v>
      </c>
      <c r="C6">
        <v>2.9893693034970901</v>
      </c>
      <c r="D6">
        <v>1.8484877239389399</v>
      </c>
      <c r="E6">
        <v>3.8217408657073899</v>
      </c>
      <c r="F6">
        <v>1</v>
      </c>
      <c r="G6">
        <v>67.377777777777695</v>
      </c>
      <c r="H6">
        <v>67</v>
      </c>
      <c r="I6">
        <v>24</v>
      </c>
      <c r="J6">
        <v>111</v>
      </c>
      <c r="K6">
        <v>9096</v>
      </c>
      <c r="L6">
        <v>21.871014917747601</v>
      </c>
      <c r="M6">
        <v>2</v>
      </c>
      <c r="N6">
        <v>3.7627214783217999</v>
      </c>
      <c r="O6">
        <v>4.0562174297863196</v>
      </c>
      <c r="P6">
        <v>2.9883434886856399</v>
      </c>
      <c r="Q6">
        <v>3.8217408657073899</v>
      </c>
      <c r="R6">
        <v>1</v>
      </c>
      <c r="S6">
        <v>9.4814814814814792</v>
      </c>
      <c r="T6">
        <v>9</v>
      </c>
      <c r="U6">
        <v>4</v>
      </c>
      <c r="V6">
        <v>15</v>
      </c>
      <c r="W6">
        <v>1280</v>
      </c>
      <c r="X6">
        <v>2.99215853761239</v>
      </c>
      <c r="Y6">
        <f t="shared" ref="Y6:Y8" si="0">E6/60</f>
        <v>6.3695681095123163E-2</v>
      </c>
      <c r="Z6">
        <f t="shared" ref="Z6:Z8" si="1">SQRT((B6-N6)^2+(C6-O6)^2+(D6-P6)^2)</f>
        <v>1.6376649225328941</v>
      </c>
    </row>
    <row r="7" spans="1:26" x14ac:dyDescent="0.25">
      <c r="A7">
        <v>5</v>
      </c>
      <c r="B7">
        <v>4.2388681384827898</v>
      </c>
      <c r="C7">
        <v>2.8254407009479401</v>
      </c>
      <c r="D7">
        <v>1.88168531176257</v>
      </c>
      <c r="E7">
        <v>7.6434817314147896</v>
      </c>
      <c r="F7">
        <v>2</v>
      </c>
      <c r="G7">
        <v>59.844444444444399</v>
      </c>
      <c r="H7">
        <v>59</v>
      </c>
      <c r="I7">
        <v>22</v>
      </c>
      <c r="J7">
        <v>102</v>
      </c>
      <c r="K7">
        <v>8079</v>
      </c>
      <c r="L7">
        <v>20.377726597771701</v>
      </c>
      <c r="M7">
        <v>2</v>
      </c>
      <c r="N7">
        <v>3.8221769109100201</v>
      </c>
      <c r="O7">
        <v>3.96166937102721</v>
      </c>
      <c r="P7">
        <v>2.76812582696994</v>
      </c>
      <c r="Q7">
        <v>7.6434817314147896</v>
      </c>
      <c r="R7">
        <v>2</v>
      </c>
      <c r="S7">
        <v>8.5407407407407394</v>
      </c>
      <c r="T7">
        <v>8</v>
      </c>
      <c r="U7">
        <v>4</v>
      </c>
      <c r="V7">
        <v>13</v>
      </c>
      <c r="W7">
        <v>1153</v>
      </c>
      <c r="X7">
        <v>2.2913300672445902</v>
      </c>
      <c r="Y7">
        <f t="shared" si="0"/>
        <v>0.12739136219024649</v>
      </c>
      <c r="Z7">
        <f t="shared" si="1"/>
        <v>1.5001413122927172</v>
      </c>
    </row>
    <row r="8" spans="1:26" x14ac:dyDescent="0.25">
      <c r="A8">
        <v>5</v>
      </c>
      <c r="B8">
        <v>4.24565567201725</v>
      </c>
      <c r="C8">
        <v>2.9741969532378598</v>
      </c>
      <c r="D8">
        <v>1.85972506817825</v>
      </c>
      <c r="E8">
        <v>11.4652225971221</v>
      </c>
      <c r="F8">
        <v>3</v>
      </c>
      <c r="G8">
        <v>43.696296296296197</v>
      </c>
      <c r="H8">
        <v>42</v>
      </c>
      <c r="I8">
        <v>19</v>
      </c>
      <c r="J8">
        <v>71</v>
      </c>
      <c r="K8">
        <v>5899</v>
      </c>
      <c r="L8">
        <v>13.4537760743154</v>
      </c>
      <c r="M8">
        <v>2</v>
      </c>
      <c r="N8">
        <v>3.7349122589223001</v>
      </c>
      <c r="O8">
        <v>4.1005015133434704</v>
      </c>
      <c r="P8">
        <v>2.7785624397242601</v>
      </c>
      <c r="Q8">
        <v>11.4652225971221</v>
      </c>
      <c r="R8">
        <v>3</v>
      </c>
      <c r="S8">
        <v>6.5925925925925899</v>
      </c>
      <c r="T8">
        <v>6</v>
      </c>
      <c r="U8">
        <v>2</v>
      </c>
      <c r="V8">
        <v>11</v>
      </c>
      <c r="W8">
        <v>890</v>
      </c>
      <c r="X8">
        <v>2.0922611359815302</v>
      </c>
      <c r="Y8">
        <f t="shared" si="0"/>
        <v>0.19108704328536832</v>
      </c>
      <c r="Z8">
        <f t="shared" si="1"/>
        <v>1.5406761215401996</v>
      </c>
    </row>
    <row r="9" spans="1:26" x14ac:dyDescent="0.25">
      <c r="A9">
        <v>5</v>
      </c>
      <c r="B9">
        <v>4.3210576435493504</v>
      </c>
      <c r="C9">
        <v>3.0425005859631602</v>
      </c>
      <c r="D9">
        <v>1.77328884466718</v>
      </c>
      <c r="E9">
        <v>15.286963462829499</v>
      </c>
      <c r="F9">
        <v>4</v>
      </c>
      <c r="G9">
        <v>42.214814814814801</v>
      </c>
      <c r="H9">
        <v>41</v>
      </c>
      <c r="I9">
        <v>19</v>
      </c>
      <c r="J9">
        <v>71</v>
      </c>
      <c r="K9">
        <v>5699</v>
      </c>
      <c r="L9">
        <v>13.4693600249</v>
      </c>
      <c r="Z9">
        <f>AVERAGE(Z5:Z8)</f>
        <v>1.5472292632262645</v>
      </c>
    </row>
    <row r="10" spans="1:26" x14ac:dyDescent="0.25">
      <c r="A10">
        <v>5</v>
      </c>
      <c r="B10">
        <v>4.3360106848894704</v>
      </c>
      <c r="C10">
        <v>3.0811371195405801</v>
      </c>
      <c r="D10">
        <v>1.72778532036976</v>
      </c>
      <c r="E10">
        <v>19.108704328536898</v>
      </c>
      <c r="F10">
        <v>5</v>
      </c>
      <c r="G10">
        <v>36.629629629629598</v>
      </c>
      <c r="H10">
        <v>36</v>
      </c>
      <c r="I10">
        <v>12</v>
      </c>
      <c r="J10">
        <v>62</v>
      </c>
      <c r="K10">
        <v>4945</v>
      </c>
      <c r="L10">
        <v>12.890897367383999</v>
      </c>
    </row>
    <row r="11" spans="1:26" x14ac:dyDescent="0.25">
      <c r="A11">
        <v>5</v>
      </c>
      <c r="B11">
        <v>4.3312034266202302</v>
      </c>
      <c r="C11">
        <v>3.0921814702311798</v>
      </c>
      <c r="D11">
        <v>1.8524354509907299</v>
      </c>
      <c r="E11">
        <v>22.9304451942443</v>
      </c>
      <c r="F11">
        <v>6</v>
      </c>
      <c r="G11">
        <v>13.1259259259259</v>
      </c>
      <c r="H11">
        <v>12</v>
      </c>
      <c r="I11">
        <v>3</v>
      </c>
      <c r="J11">
        <v>25</v>
      </c>
      <c r="K11">
        <v>1772</v>
      </c>
      <c r="L11">
        <v>5.6561017502691202</v>
      </c>
    </row>
    <row r="12" spans="1:26" x14ac:dyDescent="0.25">
      <c r="A12">
        <v>5</v>
      </c>
      <c r="B12">
        <v>4.3145843936477402</v>
      </c>
      <c r="C12">
        <v>3.0977868838246301</v>
      </c>
      <c r="D12">
        <v>1.7255611625600999</v>
      </c>
      <c r="E12">
        <v>26.752186059951701</v>
      </c>
      <c r="F12">
        <v>7</v>
      </c>
      <c r="G12">
        <v>12.844444444444401</v>
      </c>
      <c r="H12">
        <v>12</v>
      </c>
      <c r="I12">
        <v>4</v>
      </c>
      <c r="J12">
        <v>24</v>
      </c>
      <c r="K12">
        <v>1734</v>
      </c>
      <c r="L12">
        <v>5.0012933650589897</v>
      </c>
    </row>
    <row r="13" spans="1:26" x14ac:dyDescent="0.25">
      <c r="A13">
        <v>5</v>
      </c>
      <c r="B13">
        <v>4.3818056821794897</v>
      </c>
      <c r="C13">
        <v>3.1082121221624299</v>
      </c>
      <c r="D13">
        <v>1.73998765367845</v>
      </c>
      <c r="E13">
        <v>30.573926925659102</v>
      </c>
      <c r="F13">
        <v>8</v>
      </c>
      <c r="G13">
        <v>9.4222222222222207</v>
      </c>
      <c r="H13">
        <v>9</v>
      </c>
      <c r="I13">
        <v>3</v>
      </c>
      <c r="J13">
        <v>18</v>
      </c>
      <c r="K13">
        <v>1272</v>
      </c>
      <c r="L13">
        <v>3.9122209340495901</v>
      </c>
    </row>
    <row r="14" spans="1:26" x14ac:dyDescent="0.25">
      <c r="A14">
        <v>5</v>
      </c>
      <c r="B14">
        <v>4.3641363790443899</v>
      </c>
      <c r="C14">
        <v>3.1308534268439301</v>
      </c>
      <c r="D14">
        <v>1.79129742829955</v>
      </c>
      <c r="E14">
        <v>34.395667791366499</v>
      </c>
      <c r="F14">
        <v>9</v>
      </c>
      <c r="G14">
        <v>13.259259259259199</v>
      </c>
      <c r="H14">
        <v>13</v>
      </c>
      <c r="I14">
        <v>5</v>
      </c>
      <c r="J14">
        <v>22</v>
      </c>
      <c r="K14">
        <v>1790</v>
      </c>
      <c r="L14">
        <v>4.3673875571185601</v>
      </c>
    </row>
    <row r="15" spans="1:26" x14ac:dyDescent="0.25">
      <c r="A15">
        <v>5</v>
      </c>
      <c r="B15">
        <v>4.26394645095509</v>
      </c>
      <c r="C15">
        <v>3.0854613241230302</v>
      </c>
      <c r="D15">
        <v>1.74579141787531</v>
      </c>
      <c r="E15">
        <v>38.217408657073896</v>
      </c>
      <c r="F15">
        <v>10</v>
      </c>
      <c r="G15">
        <v>11.481481481481399</v>
      </c>
      <c r="H15">
        <v>11</v>
      </c>
      <c r="I15">
        <v>4</v>
      </c>
      <c r="J15">
        <v>19</v>
      </c>
      <c r="K15">
        <v>1550</v>
      </c>
      <c r="L15">
        <v>3.55941436540542</v>
      </c>
    </row>
    <row r="16" spans="1:26" x14ac:dyDescent="0.25">
      <c r="A16">
        <v>5</v>
      </c>
      <c r="B16">
        <v>4.2120112650251</v>
      </c>
      <c r="C16">
        <v>3.0895002597443599</v>
      </c>
      <c r="D16">
        <v>1.82407155777215</v>
      </c>
      <c r="E16">
        <v>42.039149522781301</v>
      </c>
      <c r="F16">
        <v>11</v>
      </c>
      <c r="G16">
        <v>8.93333333333333</v>
      </c>
      <c r="H16">
        <v>9</v>
      </c>
      <c r="I16">
        <v>3</v>
      </c>
      <c r="J16">
        <v>14</v>
      </c>
      <c r="K16">
        <v>1206</v>
      </c>
      <c r="L16">
        <v>2.65476198444038</v>
      </c>
    </row>
    <row r="17" spans="1:12" x14ac:dyDescent="0.25">
      <c r="A17">
        <v>5</v>
      </c>
      <c r="B17">
        <v>4.0840463492508201</v>
      </c>
      <c r="C17">
        <v>2.9509201567423302</v>
      </c>
      <c r="D17">
        <v>1.9512154896287499</v>
      </c>
      <c r="E17">
        <v>45.860890388488698</v>
      </c>
      <c r="F17">
        <v>12</v>
      </c>
      <c r="G17">
        <v>8.1481481481481399</v>
      </c>
      <c r="H17">
        <v>8</v>
      </c>
      <c r="I17">
        <v>2</v>
      </c>
      <c r="J17">
        <v>16</v>
      </c>
      <c r="K17">
        <v>1100</v>
      </c>
      <c r="L17">
        <v>3.5271199162009501</v>
      </c>
    </row>
    <row r="18" spans="1:12" x14ac:dyDescent="0.25">
      <c r="A18">
        <v>5</v>
      </c>
      <c r="B18">
        <v>4.1008870336416301</v>
      </c>
      <c r="C18">
        <v>2.9229569743764299</v>
      </c>
      <c r="D18">
        <v>1.8217623891567101</v>
      </c>
      <c r="E18">
        <v>49.682631254196103</v>
      </c>
      <c r="F18">
        <v>13</v>
      </c>
      <c r="G18">
        <v>7.62222222222222</v>
      </c>
      <c r="H18">
        <v>7</v>
      </c>
      <c r="I18">
        <v>2</v>
      </c>
      <c r="J18">
        <v>13</v>
      </c>
      <c r="K18">
        <v>1029</v>
      </c>
      <c r="L18">
        <v>2.76671761626646</v>
      </c>
    </row>
    <row r="19" spans="1:12" x14ac:dyDescent="0.25">
      <c r="A19">
        <v>5</v>
      </c>
      <c r="B19">
        <v>4.2446777265291402</v>
      </c>
      <c r="C19">
        <v>2.8997481620985601</v>
      </c>
      <c r="D19">
        <v>1.7966928368585799</v>
      </c>
      <c r="E19">
        <v>53.504372119903501</v>
      </c>
      <c r="F19">
        <v>14</v>
      </c>
      <c r="G19">
        <v>5.45185185185185</v>
      </c>
      <c r="H19">
        <v>5</v>
      </c>
      <c r="I19">
        <v>2</v>
      </c>
      <c r="J19">
        <v>10</v>
      </c>
      <c r="K19">
        <v>736</v>
      </c>
      <c r="L19">
        <v>2.2217329477957399</v>
      </c>
    </row>
    <row r="20" spans="1:12" x14ac:dyDescent="0.25">
      <c r="A20">
        <v>5</v>
      </c>
      <c r="B20">
        <v>4.4892852174369899</v>
      </c>
      <c r="C20">
        <v>3.0000705494088602</v>
      </c>
      <c r="D20">
        <v>1.8696694126603099</v>
      </c>
      <c r="E20">
        <v>57.326112985610898</v>
      </c>
      <c r="F20">
        <v>15</v>
      </c>
      <c r="G20">
        <v>3.88888888888888</v>
      </c>
      <c r="H20">
        <v>4</v>
      </c>
      <c r="I20">
        <v>1</v>
      </c>
      <c r="J20">
        <v>7</v>
      </c>
      <c r="K20">
        <v>525</v>
      </c>
      <c r="L20">
        <v>1.5340253683840299</v>
      </c>
    </row>
    <row r="21" spans="1:12" x14ac:dyDescent="0.25">
      <c r="A21">
        <v>5</v>
      </c>
      <c r="B21">
        <v>4.5311133282057998</v>
      </c>
      <c r="C21">
        <v>2.9973913302671802</v>
      </c>
      <c r="D21">
        <v>1.7486262221320801</v>
      </c>
      <c r="E21">
        <v>61.147853851318303</v>
      </c>
      <c r="F21">
        <v>16</v>
      </c>
      <c r="G21">
        <v>8.3629629629629605</v>
      </c>
      <c r="H21">
        <v>7</v>
      </c>
      <c r="I21">
        <v>2</v>
      </c>
      <c r="J21">
        <v>18</v>
      </c>
      <c r="K21">
        <v>1129</v>
      </c>
      <c r="L21">
        <v>3.8895332325710599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231107_triple_4_Cell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2023-12-01T03:45:13Z</dcterms:created>
  <dcterms:modified xsi:type="dcterms:W3CDTF">2024-02-05T22:36:12Z</dcterms:modified>
</cp:coreProperties>
</file>