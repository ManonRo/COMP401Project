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lyra\STACKS\1minute_3second updated\Triple Metaphase\"/>
    </mc:Choice>
  </mc:AlternateContent>
  <xr:revisionPtr revIDLastSave="0" documentId="13_ncr:1_{D65ED6C8-99BF-489C-ABB8-49E6BBC23647}" xr6:coauthVersionLast="45" xr6:coauthVersionMax="45" xr10:uidLastSave="{00000000-0000-0000-0000-000000000000}"/>
  <bookViews>
    <workbookView xWindow="60" yWindow="765" windowWidth="27345" windowHeight="14145" xr2:uid="{00000000-000D-0000-FFFF-FFFF00000000}"/>
  </bookViews>
  <sheets>
    <sheet name="231107_triple_10_Cell 4_SP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Z16" i="1" l="1"/>
  <c r="Z6" i="1" l="1"/>
  <c r="Z7" i="1"/>
  <c r="Z8" i="1"/>
  <c r="Z9" i="1"/>
  <c r="Z10" i="1"/>
  <c r="Z11" i="1"/>
  <c r="Z12" i="1"/>
  <c r="Z13" i="1"/>
  <c r="Z14" i="1"/>
  <c r="Z15" i="1"/>
  <c r="Z5" i="1"/>
  <c r="Y6" i="1"/>
  <c r="Y7" i="1"/>
  <c r="Y8" i="1"/>
  <c r="Y9" i="1"/>
  <c r="Y10" i="1"/>
  <c r="Y11" i="1"/>
  <c r="Y12" i="1"/>
  <c r="Y13" i="1"/>
  <c r="Y14" i="1"/>
  <c r="Y15" i="1"/>
  <c r="Y5" i="1"/>
</calcChain>
</file>

<file path=xl/sharedStrings.xml><?xml version="1.0" encoding="utf-8"?>
<sst xmlns="http://schemas.openxmlformats.org/spreadsheetml/2006/main" count="46" uniqueCount="33">
  <si>
    <t>TRACK_ID</t>
  </si>
  <si>
    <t>POSITION_X</t>
  </si>
  <si>
    <t>POSITION_Y</t>
  </si>
  <si>
    <t>POSITION_Z</t>
  </si>
  <si>
    <t>POSITION_T</t>
  </si>
  <si>
    <t>FRAME</t>
  </si>
  <si>
    <t>MEAN_INTENSITY_CH1</t>
  </si>
  <si>
    <t>MEDIAN_INTENSITY_CH1</t>
  </si>
  <si>
    <t>MIN_INTENSITY_CH1</t>
  </si>
  <si>
    <t>MAX_INTENSITY_CH1</t>
  </si>
  <si>
    <t>TOTAL_INTENSITY_CH1</t>
  </si>
  <si>
    <t>STD_INTENSITY_CH1</t>
  </si>
  <si>
    <t>Track ID</t>
  </si>
  <si>
    <t>X</t>
  </si>
  <si>
    <t>Y</t>
  </si>
  <si>
    <t>Z</t>
  </si>
  <si>
    <t>T</t>
  </si>
  <si>
    <t>Frame</t>
  </si>
  <si>
    <t>Mean intensity ch1</t>
  </si>
  <si>
    <t>Median intensity ch1</t>
  </si>
  <si>
    <t>Min intensity ch1</t>
  </si>
  <si>
    <t>Max intensity ch1</t>
  </si>
  <si>
    <t>Sum intensity ch1</t>
  </si>
  <si>
    <t>Std intensity ch1</t>
  </si>
  <si>
    <t>Mean ch1</t>
  </si>
  <si>
    <t>Median ch1</t>
  </si>
  <si>
    <t>Min ch1</t>
  </si>
  <si>
    <t>Max ch1</t>
  </si>
  <si>
    <t>Sum ch1</t>
  </si>
  <si>
    <t>Std ch1</t>
  </si>
  <si>
    <t>(micron)</t>
  </si>
  <si>
    <t>(sec)</t>
  </si>
  <si>
    <t>(counts)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</si>
</sst>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'231107_triple_10_Cell 4_SPB'!$Y$5:$Y$15</c:f>
              <c:numCache>
                <c:formatCode>General</c:formatCode>
                <c:ptCount val="11"/>
                <c:pt idx="0">
                  <c:v>0</c:v>
                </c:pt>
                <c:pt idx="1">
                  <c:v>6.3695673147837167E-2</c:v>
                </c:pt>
                <c:pt idx="2">
                  <c:v>0.1273913462956745</c:v>
                </c:pt>
                <c:pt idx="3">
                  <c:v>0.19108701944351167</c:v>
                </c:pt>
                <c:pt idx="4">
                  <c:v>0.25478269259134834</c:v>
                </c:pt>
                <c:pt idx="5">
                  <c:v>0.31847836573918503</c:v>
                </c:pt>
                <c:pt idx="6">
                  <c:v>0.38217403888702334</c:v>
                </c:pt>
                <c:pt idx="7">
                  <c:v>0.44586971203485998</c:v>
                </c:pt>
                <c:pt idx="8">
                  <c:v>0.50956538518269834</c:v>
                </c:pt>
                <c:pt idx="9">
                  <c:v>0.57326105833053498</c:v>
                </c:pt>
                <c:pt idx="10">
                  <c:v>0.63695673147837162</c:v>
                </c:pt>
              </c:numCache>
            </c:numRef>
          </c:xVal>
          <c:yVal>
            <c:numRef>
              <c:f>'231107_triple_10_Cell 4_SPB'!$Z$5:$Z$15</c:f>
              <c:numCache>
                <c:formatCode>General</c:formatCode>
                <c:ptCount val="11"/>
                <c:pt idx="0">
                  <c:v>1.6681028179525466</c:v>
                </c:pt>
                <c:pt idx="1">
                  <c:v>1.6687058332343117</c:v>
                </c:pt>
                <c:pt idx="2">
                  <c:v>1.6825100991222453</c:v>
                </c:pt>
                <c:pt idx="3">
                  <c:v>1.6866472910137527</c:v>
                </c:pt>
                <c:pt idx="4">
                  <c:v>1.6883218415876085</c:v>
                </c:pt>
                <c:pt idx="5">
                  <c:v>1.6855993288186373</c:v>
                </c:pt>
                <c:pt idx="6">
                  <c:v>1.7052214553225187</c:v>
                </c:pt>
                <c:pt idx="7">
                  <c:v>1.677733225161522</c:v>
                </c:pt>
                <c:pt idx="8">
                  <c:v>1.6477032030445597</c:v>
                </c:pt>
                <c:pt idx="9">
                  <c:v>1.6794346677900278</c:v>
                </c:pt>
                <c:pt idx="10">
                  <c:v>1.6663506046582248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835-44F9-B2AD-ECF5D371AB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2174096"/>
        <c:axId val="672174424"/>
      </c:scatterChart>
      <c:valAx>
        <c:axId val="672174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2174424"/>
        <c:crosses val="autoZero"/>
        <c:crossBetween val="midCat"/>
      </c:valAx>
      <c:valAx>
        <c:axId val="672174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21740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61912</xdr:colOff>
      <xdr:row>8</xdr:row>
      <xdr:rowOff>76200</xdr:rowOff>
    </xdr:from>
    <xdr:to>
      <xdr:col>17</xdr:col>
      <xdr:colOff>366712</xdr:colOff>
      <xdr:row>22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1ECBCA-44AE-4EF3-B0C9-757FD2B26F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4"/>
  <sheetViews>
    <sheetView tabSelected="1" topLeftCell="D1" workbookViewId="0">
      <selection activeCell="Z16" sqref="Z16"/>
    </sheetView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26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2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</row>
    <row r="4" spans="1:26" x14ac:dyDescent="0.25">
      <c r="B4" t="s">
        <v>30</v>
      </c>
      <c r="C4" t="s">
        <v>30</v>
      </c>
      <c r="D4" t="s">
        <v>30</v>
      </c>
      <c r="E4" t="s">
        <v>31</v>
      </c>
      <c r="G4" t="s">
        <v>32</v>
      </c>
      <c r="H4" t="s">
        <v>32</v>
      </c>
      <c r="I4" t="s">
        <v>32</v>
      </c>
      <c r="J4" t="s">
        <v>32</v>
      </c>
      <c r="K4" t="s">
        <v>32</v>
      </c>
      <c r="L4" t="s">
        <v>32</v>
      </c>
    </row>
    <row r="5" spans="1:26" x14ac:dyDescent="0.25">
      <c r="A5">
        <v>2</v>
      </c>
      <c r="B5">
        <v>4.8489771138761197</v>
      </c>
      <c r="C5">
        <v>4.1299385883250004</v>
      </c>
      <c r="D5">
        <v>2.4818175598252901</v>
      </c>
      <c r="E5">
        <v>0</v>
      </c>
      <c r="F5">
        <v>0</v>
      </c>
      <c r="G5">
        <v>189.53333333333299</v>
      </c>
      <c r="H5">
        <v>177</v>
      </c>
      <c r="I5">
        <v>82</v>
      </c>
      <c r="J5">
        <v>326</v>
      </c>
      <c r="K5">
        <v>25587</v>
      </c>
      <c r="L5">
        <v>62.127552952139403</v>
      </c>
      <c r="M5">
        <v>1</v>
      </c>
      <c r="N5">
        <v>4.4087419830275696</v>
      </c>
      <c r="O5">
        <v>2.5211980471877302</v>
      </c>
      <c r="P5">
        <v>2.4550984256823298</v>
      </c>
      <c r="Q5">
        <v>0</v>
      </c>
      <c r="R5">
        <v>0</v>
      </c>
      <c r="S5">
        <v>19.5259259259259</v>
      </c>
      <c r="T5">
        <v>19</v>
      </c>
      <c r="U5">
        <v>7</v>
      </c>
      <c r="V5">
        <v>33</v>
      </c>
      <c r="W5">
        <v>2636</v>
      </c>
      <c r="X5">
        <v>6.6476677872316499</v>
      </c>
      <c r="Y5">
        <f>E5/60</f>
        <v>0</v>
      </c>
      <c r="Z5">
        <f>SQRT((B5-N5)^2+(C5-O5)^2+(D5-P5)^2)</f>
        <v>1.6681028179525466</v>
      </c>
    </row>
    <row r="6" spans="1:26" x14ac:dyDescent="0.25">
      <c r="A6">
        <v>2</v>
      </c>
      <c r="B6">
        <v>4.8760490883293999</v>
      </c>
      <c r="C6">
        <v>4.1053953154096297</v>
      </c>
      <c r="D6">
        <v>2.4617411353399601</v>
      </c>
      <c r="E6">
        <v>3.8217403888702299</v>
      </c>
      <c r="F6">
        <v>1</v>
      </c>
      <c r="G6">
        <v>148.71851851851801</v>
      </c>
      <c r="H6">
        <v>143</v>
      </c>
      <c r="I6">
        <v>60</v>
      </c>
      <c r="J6">
        <v>256</v>
      </c>
      <c r="K6">
        <v>20077</v>
      </c>
      <c r="L6">
        <v>49.507673436873503</v>
      </c>
      <c r="M6">
        <v>1</v>
      </c>
      <c r="N6">
        <v>4.3263193141993304</v>
      </c>
      <c r="O6">
        <v>2.5308003114428401</v>
      </c>
      <c r="P6">
        <v>2.4067238036348799</v>
      </c>
      <c r="Q6">
        <v>3.8217403888702299</v>
      </c>
      <c r="R6">
        <v>1</v>
      </c>
      <c r="S6">
        <v>18.5037037037037</v>
      </c>
      <c r="T6">
        <v>17</v>
      </c>
      <c r="U6">
        <v>7</v>
      </c>
      <c r="V6">
        <v>32</v>
      </c>
      <c r="W6">
        <v>2498</v>
      </c>
      <c r="X6">
        <v>6.4447989837856099</v>
      </c>
      <c r="Y6">
        <f t="shared" ref="Y6:Y15" si="0">E6/60</f>
        <v>6.3695673147837167E-2</v>
      </c>
      <c r="Z6">
        <f t="shared" ref="Z6:Z15" si="1">SQRT((B6-N6)^2+(C6-O6)^2+(D6-P6)^2)</f>
        <v>1.6687058332343117</v>
      </c>
    </row>
    <row r="7" spans="1:26" x14ac:dyDescent="0.25">
      <c r="A7">
        <v>2</v>
      </c>
      <c r="B7">
        <v>4.8293055523976101</v>
      </c>
      <c r="C7">
        <v>4.1334698800873699</v>
      </c>
      <c r="D7">
        <v>2.4119501760768101</v>
      </c>
      <c r="E7">
        <v>7.6434807777404696</v>
      </c>
      <c r="F7">
        <v>2</v>
      </c>
      <c r="G7">
        <v>123.666666666666</v>
      </c>
      <c r="H7">
        <v>119</v>
      </c>
      <c r="I7">
        <v>47</v>
      </c>
      <c r="J7">
        <v>209</v>
      </c>
      <c r="K7">
        <v>16695</v>
      </c>
      <c r="L7">
        <v>40.448234837784099</v>
      </c>
      <c r="M7">
        <v>1</v>
      </c>
      <c r="N7">
        <v>4.3502524166538397</v>
      </c>
      <c r="O7">
        <v>2.5225305763896699</v>
      </c>
      <c r="P7">
        <v>2.33306490125078</v>
      </c>
      <c r="Q7">
        <v>7.6434807777404696</v>
      </c>
      <c r="R7">
        <v>2</v>
      </c>
      <c r="S7">
        <v>21.259259259259199</v>
      </c>
      <c r="T7">
        <v>21</v>
      </c>
      <c r="U7">
        <v>7</v>
      </c>
      <c r="V7">
        <v>35</v>
      </c>
      <c r="W7">
        <v>2870</v>
      </c>
      <c r="X7">
        <v>7.0731391867169604</v>
      </c>
      <c r="Y7">
        <f t="shared" si="0"/>
        <v>0.1273913462956745</v>
      </c>
      <c r="Z7">
        <f t="shared" si="1"/>
        <v>1.6825100991222453</v>
      </c>
    </row>
    <row r="8" spans="1:26" x14ac:dyDescent="0.25">
      <c r="A8">
        <v>2</v>
      </c>
      <c r="B8">
        <v>4.8241299441010197</v>
      </c>
      <c r="C8">
        <v>4.1190106010181804</v>
      </c>
      <c r="D8">
        <v>2.3776516391751601</v>
      </c>
      <c r="E8">
        <v>11.4652211666107</v>
      </c>
      <c r="F8">
        <v>3</v>
      </c>
      <c r="G8">
        <v>67.918518518518496</v>
      </c>
      <c r="H8">
        <v>65</v>
      </c>
      <c r="I8">
        <v>22</v>
      </c>
      <c r="J8">
        <v>126</v>
      </c>
      <c r="K8">
        <v>9169</v>
      </c>
      <c r="L8">
        <v>27.236403386471999</v>
      </c>
      <c r="M8">
        <v>1</v>
      </c>
      <c r="N8">
        <v>4.3079794449732001</v>
      </c>
      <c r="O8">
        <v>2.5135516745788999</v>
      </c>
      <c r="P8">
        <v>2.4071369244979501</v>
      </c>
      <c r="Q8">
        <v>11.4652211666107</v>
      </c>
      <c r="R8">
        <v>3</v>
      </c>
      <c r="S8">
        <v>9.6592592592592599</v>
      </c>
      <c r="T8">
        <v>9</v>
      </c>
      <c r="U8">
        <v>3</v>
      </c>
      <c r="V8">
        <v>18</v>
      </c>
      <c r="W8">
        <v>1304</v>
      </c>
      <c r="X8">
        <v>3.7915124437864498</v>
      </c>
      <c r="Y8">
        <f t="shared" si="0"/>
        <v>0.19108701944351167</v>
      </c>
      <c r="Z8">
        <f t="shared" si="1"/>
        <v>1.6866472910137527</v>
      </c>
    </row>
    <row r="9" spans="1:26" x14ac:dyDescent="0.25">
      <c r="A9">
        <v>2</v>
      </c>
      <c r="B9">
        <v>4.8257620704793096</v>
      </c>
      <c r="C9">
        <v>4.1356829814036002</v>
      </c>
      <c r="D9">
        <v>2.4408681441292899</v>
      </c>
      <c r="E9">
        <v>15.2869615554809</v>
      </c>
      <c r="F9">
        <v>4</v>
      </c>
      <c r="G9">
        <v>64.274074074073994</v>
      </c>
      <c r="H9">
        <v>61</v>
      </c>
      <c r="I9">
        <v>21</v>
      </c>
      <c r="J9">
        <v>118</v>
      </c>
      <c r="K9">
        <v>8677</v>
      </c>
      <c r="L9">
        <v>25.2812329750892</v>
      </c>
      <c r="M9">
        <v>1</v>
      </c>
      <c r="N9">
        <v>4.2731099773377403</v>
      </c>
      <c r="O9">
        <v>2.5413967917703899</v>
      </c>
      <c r="P9">
        <v>2.3837905629538798</v>
      </c>
      <c r="Q9">
        <v>15.2869615554809</v>
      </c>
      <c r="R9">
        <v>4</v>
      </c>
      <c r="S9">
        <v>10.8518518518518</v>
      </c>
      <c r="T9">
        <v>10</v>
      </c>
      <c r="U9">
        <v>3</v>
      </c>
      <c r="V9">
        <v>21</v>
      </c>
      <c r="W9">
        <v>1465</v>
      </c>
      <c r="X9">
        <v>4.5720084722609204</v>
      </c>
      <c r="Y9">
        <f t="shared" si="0"/>
        <v>0.25478269259134834</v>
      </c>
      <c r="Z9">
        <f t="shared" si="1"/>
        <v>1.6883218415876085</v>
      </c>
    </row>
    <row r="10" spans="1:26" x14ac:dyDescent="0.25">
      <c r="A10">
        <v>2</v>
      </c>
      <c r="B10">
        <v>4.81243657277843</v>
      </c>
      <c r="C10">
        <v>4.1338255865460196</v>
      </c>
      <c r="D10">
        <v>2.5508141373142998</v>
      </c>
      <c r="E10">
        <v>19.1087019443511</v>
      </c>
      <c r="F10">
        <v>5</v>
      </c>
      <c r="G10">
        <v>77.088888888888803</v>
      </c>
      <c r="H10">
        <v>72</v>
      </c>
      <c r="I10">
        <v>27</v>
      </c>
      <c r="J10">
        <v>144</v>
      </c>
      <c r="K10">
        <v>10407</v>
      </c>
      <c r="L10">
        <v>31.2454096131023</v>
      </c>
      <c r="M10">
        <v>1</v>
      </c>
      <c r="N10">
        <v>4.223672222347</v>
      </c>
      <c r="O10">
        <v>2.6034388675560698</v>
      </c>
      <c r="P10">
        <v>2.1602784445612899</v>
      </c>
      <c r="Q10">
        <v>19.1087019443511</v>
      </c>
      <c r="R10">
        <v>5</v>
      </c>
      <c r="S10">
        <v>12.8074074074074</v>
      </c>
      <c r="T10">
        <v>12</v>
      </c>
      <c r="U10">
        <v>4</v>
      </c>
      <c r="V10">
        <v>24</v>
      </c>
      <c r="W10">
        <v>1729</v>
      </c>
      <c r="X10">
        <v>4.88753561852318</v>
      </c>
      <c r="Y10">
        <f t="shared" si="0"/>
        <v>0.31847836573918503</v>
      </c>
      <c r="Z10">
        <f t="shared" si="1"/>
        <v>1.6855993288186373</v>
      </c>
    </row>
    <row r="11" spans="1:26" x14ac:dyDescent="0.25">
      <c r="A11">
        <v>2</v>
      </c>
      <c r="B11">
        <v>4.8814857005501597</v>
      </c>
      <c r="C11">
        <v>4.1385904945849799</v>
      </c>
      <c r="D11">
        <v>2.37627745310045</v>
      </c>
      <c r="E11">
        <v>22.9304423332214</v>
      </c>
      <c r="F11">
        <v>6</v>
      </c>
      <c r="G11">
        <v>26.814814814814799</v>
      </c>
      <c r="H11">
        <v>25</v>
      </c>
      <c r="I11">
        <v>9</v>
      </c>
      <c r="J11">
        <v>53</v>
      </c>
      <c r="K11">
        <v>3620</v>
      </c>
      <c r="L11">
        <v>10.974995451116</v>
      </c>
      <c r="M11">
        <v>1</v>
      </c>
      <c r="N11">
        <v>4.2305006630076996</v>
      </c>
      <c r="O11">
        <v>2.5629842395874101</v>
      </c>
      <c r="P11">
        <v>2.4145347635211198</v>
      </c>
      <c r="Q11">
        <v>22.9304423332214</v>
      </c>
      <c r="R11">
        <v>6</v>
      </c>
      <c r="S11">
        <v>5.8888888888888804</v>
      </c>
      <c r="T11">
        <v>6</v>
      </c>
      <c r="U11">
        <v>2</v>
      </c>
      <c r="V11">
        <v>11</v>
      </c>
      <c r="W11">
        <v>795</v>
      </c>
      <c r="X11">
        <v>2.22826706867763</v>
      </c>
      <c r="Y11">
        <f t="shared" si="0"/>
        <v>0.38217403888702334</v>
      </c>
      <c r="Z11">
        <f t="shared" si="1"/>
        <v>1.7052214553225187</v>
      </c>
    </row>
    <row r="12" spans="1:26" x14ac:dyDescent="0.25">
      <c r="A12">
        <v>2</v>
      </c>
      <c r="B12">
        <v>4.80508730406748</v>
      </c>
      <c r="C12">
        <v>4.1516171281487697</v>
      </c>
      <c r="D12">
        <v>2.3810387434770699</v>
      </c>
      <c r="E12">
        <v>26.7521827220916</v>
      </c>
      <c r="F12">
        <v>7</v>
      </c>
      <c r="G12">
        <v>24.607407407407401</v>
      </c>
      <c r="H12">
        <v>23</v>
      </c>
      <c r="I12">
        <v>7</v>
      </c>
      <c r="J12">
        <v>47</v>
      </c>
      <c r="K12">
        <v>3322</v>
      </c>
      <c r="L12">
        <v>10.2339034850703</v>
      </c>
      <c r="M12">
        <v>1</v>
      </c>
      <c r="N12">
        <v>4.2088351284119696</v>
      </c>
      <c r="O12">
        <v>2.5836480704099198</v>
      </c>
      <c r="P12">
        <v>2.40833621241645</v>
      </c>
      <c r="Q12">
        <v>26.7521827220916</v>
      </c>
      <c r="R12">
        <v>7</v>
      </c>
      <c r="S12">
        <v>5.7481481481481396</v>
      </c>
      <c r="T12">
        <v>5</v>
      </c>
      <c r="U12">
        <v>2</v>
      </c>
      <c r="V12">
        <v>11</v>
      </c>
      <c r="W12">
        <v>776</v>
      </c>
      <c r="X12">
        <v>2.3490821278873901</v>
      </c>
      <c r="Y12">
        <f t="shared" si="0"/>
        <v>0.44586971203485998</v>
      </c>
      <c r="Z12">
        <f t="shared" si="1"/>
        <v>1.677733225161522</v>
      </c>
    </row>
    <row r="13" spans="1:26" x14ac:dyDescent="0.25">
      <c r="A13">
        <v>2</v>
      </c>
      <c r="B13">
        <v>4.8038595758927398</v>
      </c>
      <c r="C13">
        <v>4.1819661813121902</v>
      </c>
      <c r="D13">
        <v>2.5512424047426698</v>
      </c>
      <c r="E13">
        <v>30.5739231109619</v>
      </c>
      <c r="F13">
        <v>8</v>
      </c>
      <c r="G13">
        <v>26.229629629629599</v>
      </c>
      <c r="H13">
        <v>25</v>
      </c>
      <c r="I13">
        <v>8</v>
      </c>
      <c r="J13">
        <v>51</v>
      </c>
      <c r="K13">
        <v>3541</v>
      </c>
      <c r="L13">
        <v>11.4239475760356</v>
      </c>
      <c r="M13">
        <v>1</v>
      </c>
      <c r="N13">
        <v>4.1736337798624197</v>
      </c>
      <c r="O13">
        <v>2.6715712730215602</v>
      </c>
      <c r="P13">
        <v>2.3603274698868799</v>
      </c>
      <c r="Q13">
        <v>30.5739231109619</v>
      </c>
      <c r="R13">
        <v>8</v>
      </c>
      <c r="S13">
        <v>5.4740740740740703</v>
      </c>
      <c r="T13">
        <v>5</v>
      </c>
      <c r="U13">
        <v>2</v>
      </c>
      <c r="V13">
        <v>11</v>
      </c>
      <c r="W13">
        <v>739</v>
      </c>
      <c r="X13">
        <v>2.22881278091779</v>
      </c>
      <c r="Y13">
        <f t="shared" si="0"/>
        <v>0.50956538518269834</v>
      </c>
      <c r="Z13">
        <f t="shared" si="1"/>
        <v>1.6477032030445597</v>
      </c>
    </row>
    <row r="14" spans="1:26" x14ac:dyDescent="0.25">
      <c r="A14">
        <v>2</v>
      </c>
      <c r="B14">
        <v>4.81775814390297</v>
      </c>
      <c r="C14">
        <v>4.1846502623822097</v>
      </c>
      <c r="D14">
        <v>2.56590978402504</v>
      </c>
      <c r="E14">
        <v>34.395663499832096</v>
      </c>
      <c r="F14">
        <v>9</v>
      </c>
      <c r="G14">
        <v>21.859259259259201</v>
      </c>
      <c r="H14">
        <v>20</v>
      </c>
      <c r="I14">
        <v>7</v>
      </c>
      <c r="J14">
        <v>42</v>
      </c>
      <c r="K14">
        <v>2951</v>
      </c>
      <c r="L14">
        <v>8.7136562599954406</v>
      </c>
      <c r="M14">
        <v>1</v>
      </c>
      <c r="N14">
        <v>4.1233285159620001</v>
      </c>
      <c r="O14">
        <v>2.6886482703026502</v>
      </c>
      <c r="P14">
        <v>2.2492927678892101</v>
      </c>
      <c r="Q14">
        <v>34.395663499832096</v>
      </c>
      <c r="R14">
        <v>9</v>
      </c>
      <c r="S14">
        <v>4.3555555555555499</v>
      </c>
      <c r="T14">
        <v>4</v>
      </c>
      <c r="U14">
        <v>1</v>
      </c>
      <c r="V14">
        <v>9</v>
      </c>
      <c r="W14">
        <v>588</v>
      </c>
      <c r="X14">
        <v>1.79745535998652</v>
      </c>
      <c r="Y14">
        <f t="shared" si="0"/>
        <v>0.57326105833053498</v>
      </c>
      <c r="Z14">
        <f t="shared" si="1"/>
        <v>1.6794346677900278</v>
      </c>
    </row>
    <row r="15" spans="1:26" x14ac:dyDescent="0.25">
      <c r="A15">
        <v>2</v>
      </c>
      <c r="B15">
        <v>4.7718502199527197</v>
      </c>
      <c r="C15">
        <v>4.1844966537160904</v>
      </c>
      <c r="D15">
        <v>2.51499289472694</v>
      </c>
      <c r="E15">
        <v>38.2174038887023</v>
      </c>
      <c r="F15">
        <v>10</v>
      </c>
      <c r="G15">
        <v>16.266666666666602</v>
      </c>
      <c r="H15">
        <v>15</v>
      </c>
      <c r="I15">
        <v>5</v>
      </c>
      <c r="J15">
        <v>30</v>
      </c>
      <c r="K15">
        <v>2196</v>
      </c>
      <c r="L15">
        <v>6.5405737116564797</v>
      </c>
      <c r="M15">
        <v>1</v>
      </c>
      <c r="N15">
        <v>4.1283302945458402</v>
      </c>
      <c r="O15">
        <v>2.6652487258191901</v>
      </c>
      <c r="P15">
        <v>2.28155730011864</v>
      </c>
      <c r="Q15">
        <v>38.2174038887023</v>
      </c>
      <c r="R15">
        <v>10</v>
      </c>
      <c r="S15">
        <v>4.2814814814814799</v>
      </c>
      <c r="T15">
        <v>4</v>
      </c>
      <c r="U15">
        <v>1</v>
      </c>
      <c r="V15">
        <v>8</v>
      </c>
      <c r="W15">
        <v>578</v>
      </c>
      <c r="X15">
        <v>1.69129400187368</v>
      </c>
      <c r="Y15">
        <f t="shared" si="0"/>
        <v>0.63695673147837162</v>
      </c>
      <c r="Z15">
        <f t="shared" si="1"/>
        <v>1.6663506046582248</v>
      </c>
    </row>
    <row r="16" spans="1:26" x14ac:dyDescent="0.25">
      <c r="A16">
        <v>2</v>
      </c>
      <c r="B16">
        <v>4.8121244306510302</v>
      </c>
      <c r="C16">
        <v>4.1894263819381603</v>
      </c>
      <c r="D16">
        <v>2.5120332055732502</v>
      </c>
      <c r="E16">
        <v>42.039144277572603</v>
      </c>
      <c r="F16">
        <v>11</v>
      </c>
      <c r="G16">
        <v>19.6444444444444</v>
      </c>
      <c r="H16">
        <v>18</v>
      </c>
      <c r="I16">
        <v>7</v>
      </c>
      <c r="J16">
        <v>37</v>
      </c>
      <c r="K16">
        <v>2652</v>
      </c>
      <c r="L16">
        <v>7.6289576630674496</v>
      </c>
      <c r="Z16">
        <f>AVERAGE(Z5:Z15)</f>
        <v>1.6778482152459957</v>
      </c>
    </row>
    <row r="17" spans="1:12" x14ac:dyDescent="0.25">
      <c r="A17">
        <v>2</v>
      </c>
      <c r="B17">
        <v>4.8139063361768004</v>
      </c>
      <c r="C17">
        <v>4.19947782559845</v>
      </c>
      <c r="D17">
        <v>2.47946122550209</v>
      </c>
      <c r="E17">
        <v>45.8608846664428</v>
      </c>
      <c r="F17">
        <v>12</v>
      </c>
      <c r="G17">
        <v>14.5185185185185</v>
      </c>
      <c r="H17">
        <v>14</v>
      </c>
      <c r="I17">
        <v>5</v>
      </c>
      <c r="J17">
        <v>27</v>
      </c>
      <c r="K17">
        <v>1960</v>
      </c>
      <c r="L17">
        <v>5.6947892546173504</v>
      </c>
    </row>
    <row r="18" spans="1:12" x14ac:dyDescent="0.25">
      <c r="A18">
        <v>2</v>
      </c>
      <c r="B18">
        <v>4.7824505640090198</v>
      </c>
      <c r="C18">
        <v>4.2016650948118901</v>
      </c>
      <c r="D18">
        <v>2.5088065060343099</v>
      </c>
      <c r="E18">
        <v>49.682625055313103</v>
      </c>
      <c r="F18">
        <v>13</v>
      </c>
      <c r="G18">
        <v>13.385185185185099</v>
      </c>
      <c r="H18">
        <v>13</v>
      </c>
      <c r="I18">
        <v>4</v>
      </c>
      <c r="J18">
        <v>25</v>
      </c>
      <c r="K18">
        <v>1807</v>
      </c>
      <c r="L18">
        <v>5.2561054550876998</v>
      </c>
    </row>
    <row r="19" spans="1:12" x14ac:dyDescent="0.25">
      <c r="A19">
        <v>2</v>
      </c>
      <c r="B19">
        <v>4.8071069968641904</v>
      </c>
      <c r="C19">
        <v>4.1946887090050202</v>
      </c>
      <c r="D19">
        <v>2.6207676824728399</v>
      </c>
      <c r="E19">
        <v>53.5043654441833</v>
      </c>
      <c r="F19">
        <v>14</v>
      </c>
      <c r="G19">
        <v>12.8</v>
      </c>
      <c r="H19">
        <v>12</v>
      </c>
      <c r="I19">
        <v>4</v>
      </c>
      <c r="J19">
        <v>25</v>
      </c>
      <c r="K19">
        <v>1728</v>
      </c>
      <c r="L19">
        <v>5.3501290262025298</v>
      </c>
    </row>
    <row r="20" spans="1:12" x14ac:dyDescent="0.25">
      <c r="A20">
        <v>2</v>
      </c>
      <c r="B20">
        <v>4.8499046873880598</v>
      </c>
      <c r="C20">
        <v>4.1807899464223999</v>
      </c>
      <c r="D20">
        <v>2.6023900396076201</v>
      </c>
      <c r="E20">
        <v>57.326105833053496</v>
      </c>
      <c r="F20">
        <v>15</v>
      </c>
      <c r="G20">
        <v>31.3037037037037</v>
      </c>
      <c r="H20">
        <v>31</v>
      </c>
      <c r="I20">
        <v>11</v>
      </c>
      <c r="J20">
        <v>53</v>
      </c>
      <c r="K20">
        <v>4226</v>
      </c>
      <c r="L20">
        <v>10.9266715132886</v>
      </c>
    </row>
    <row r="21" spans="1:12" x14ac:dyDescent="0.25">
      <c r="A21">
        <v>2</v>
      </c>
      <c r="B21">
        <v>4.8467849031702697</v>
      </c>
      <c r="C21">
        <v>4.1936273383469702</v>
      </c>
      <c r="D21">
        <v>2.4687470348225502</v>
      </c>
      <c r="E21">
        <v>61.1478462219238</v>
      </c>
      <c r="F21">
        <v>16</v>
      </c>
      <c r="G21">
        <v>24.577777777777701</v>
      </c>
      <c r="H21">
        <v>23</v>
      </c>
      <c r="I21">
        <v>11</v>
      </c>
      <c r="J21">
        <v>41</v>
      </c>
      <c r="K21">
        <v>3318</v>
      </c>
      <c r="L21">
        <v>7.9882999019430301</v>
      </c>
    </row>
    <row r="22" spans="1:12" x14ac:dyDescent="0.25">
      <c r="A22">
        <v>2</v>
      </c>
      <c r="B22">
        <v>4.8817592429265302</v>
      </c>
      <c r="C22">
        <v>4.2416827612809298</v>
      </c>
      <c r="D22">
        <v>2.5554034030575901</v>
      </c>
      <c r="E22">
        <v>64.969586610793996</v>
      </c>
      <c r="F22">
        <v>17</v>
      </c>
      <c r="G22">
        <v>22.6148148148148</v>
      </c>
      <c r="H22">
        <v>23</v>
      </c>
      <c r="I22">
        <v>9</v>
      </c>
      <c r="J22">
        <v>38</v>
      </c>
      <c r="K22">
        <v>3053</v>
      </c>
      <c r="L22">
        <v>7.5181225677067998</v>
      </c>
    </row>
    <row r="23" spans="1:12" x14ac:dyDescent="0.25">
      <c r="A23">
        <v>2</v>
      </c>
      <c r="B23">
        <v>4.8491545144943</v>
      </c>
      <c r="C23">
        <v>4.2306331769325398</v>
      </c>
      <c r="D23">
        <v>2.58781194507957</v>
      </c>
      <c r="E23">
        <v>68.791326999664307</v>
      </c>
      <c r="F23">
        <v>18</v>
      </c>
      <c r="G23">
        <v>16.637037037037</v>
      </c>
      <c r="H23">
        <v>15</v>
      </c>
      <c r="I23">
        <v>5</v>
      </c>
      <c r="J23">
        <v>33</v>
      </c>
      <c r="K23">
        <v>2246</v>
      </c>
      <c r="L23">
        <v>7.0812000494555303</v>
      </c>
    </row>
    <row r="24" spans="1:12" x14ac:dyDescent="0.25">
      <c r="A24">
        <v>2</v>
      </c>
      <c r="B24">
        <v>4.9231751925155498</v>
      </c>
      <c r="C24">
        <v>4.2499581925397898</v>
      </c>
      <c r="D24">
        <v>2.46316748107078</v>
      </c>
      <c r="E24">
        <v>72.613067388534503</v>
      </c>
      <c r="F24">
        <v>19</v>
      </c>
      <c r="G24">
        <v>14.4592592592592</v>
      </c>
      <c r="H24">
        <v>13</v>
      </c>
      <c r="I24">
        <v>4</v>
      </c>
      <c r="J24">
        <v>27</v>
      </c>
      <c r="K24">
        <v>1952</v>
      </c>
      <c r="L24">
        <v>6.0158533878845297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231107_triple_10_Cell 4_SPB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Shannon</cp:lastModifiedBy>
  <dcterms:created xsi:type="dcterms:W3CDTF">2023-12-04T20:12:41Z</dcterms:created>
  <dcterms:modified xsi:type="dcterms:W3CDTF">2024-02-05T22:38:24Z</dcterms:modified>
</cp:coreProperties>
</file>