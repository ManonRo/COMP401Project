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240627_triple\ROI\Anaphase\"/>
    </mc:Choice>
  </mc:AlternateContent>
  <xr:revisionPtr revIDLastSave="0" documentId="13_ncr:1_{6609575B-F052-499F-A887-58C29F1F2129}" xr6:coauthVersionLast="45" xr6:coauthVersionMax="45" xr10:uidLastSave="{00000000-0000-0000-0000-000000000000}"/>
  <bookViews>
    <workbookView xWindow="675" yWindow="615" windowWidth="26685" windowHeight="14565" xr2:uid="{00000000-000D-0000-FFFF-FFFF00000000}"/>
  </bookViews>
  <sheets>
    <sheet name="240627_triple_7_Cell 4_SP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6" i="1" l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5" i="1"/>
</calcChain>
</file>

<file path=xl/sharedStrings.xml><?xml version="1.0" encoding="utf-8"?>
<sst xmlns="http://schemas.openxmlformats.org/spreadsheetml/2006/main" count="46" uniqueCount="33">
  <si>
    <t>TRACK_ID</t>
  </si>
  <si>
    <t>POSITION_X</t>
  </si>
  <si>
    <t>POSITION_Y</t>
  </si>
  <si>
    <t>POSITION_Z</t>
  </si>
  <si>
    <t>POSITION_T</t>
  </si>
  <si>
    <t>FRAME</t>
  </si>
  <si>
    <t>MEAN_INTENSITY_CH1</t>
  </si>
  <si>
    <t>MEDIAN_INTENSITY_CH1</t>
  </si>
  <si>
    <t>MIN_INTENSITY_CH1</t>
  </si>
  <si>
    <t>MAX_INTENSITY_CH1</t>
  </si>
  <si>
    <t>TOTAL_INTENSITY_CH1</t>
  </si>
  <si>
    <t>STD_INTENSITY_CH1</t>
  </si>
  <si>
    <t>Track ID</t>
  </si>
  <si>
    <t>X</t>
  </si>
  <si>
    <t>Y</t>
  </si>
  <si>
    <t>Z</t>
  </si>
  <si>
    <t>T</t>
  </si>
  <si>
    <t>Frame</t>
  </si>
  <si>
    <t>Mean intensity ch1</t>
  </si>
  <si>
    <t>Median intensity ch1</t>
  </si>
  <si>
    <t>Min intensity ch1</t>
  </si>
  <si>
    <t>Max intensity ch1</t>
  </si>
  <si>
    <t>Sum intensity ch1</t>
  </si>
  <si>
    <t>Std intensity ch1</t>
  </si>
  <si>
    <t>Mean ch1</t>
  </si>
  <si>
    <t>Median ch1</t>
  </si>
  <si>
    <t>Min ch1</t>
  </si>
  <si>
    <t>Max ch1</t>
  </si>
  <si>
    <t>Sum ch1</t>
  </si>
  <si>
    <t>Std ch1</t>
  </si>
  <si>
    <t>(micron)</t>
  </si>
  <si>
    <t>(sec)</t>
  </si>
  <si>
    <t>(counts)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</si>
</sst>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'240627_triple_7_Cell 4_SPB'!$Y$5:$Y$24</c:f>
              <c:numCache>
                <c:formatCode>General</c:formatCode>
                <c:ptCount val="20"/>
                <c:pt idx="0">
                  <c:v>0</c:v>
                </c:pt>
                <c:pt idx="1">
                  <c:v>6.3695716857910006E-2</c:v>
                </c:pt>
                <c:pt idx="2">
                  <c:v>0.12739143371582015</c:v>
                </c:pt>
                <c:pt idx="3">
                  <c:v>0.19108715057372999</c:v>
                </c:pt>
                <c:pt idx="4">
                  <c:v>0.25478286743164003</c:v>
                </c:pt>
                <c:pt idx="5">
                  <c:v>0.31847858428955</c:v>
                </c:pt>
                <c:pt idx="6">
                  <c:v>0.38217430114745998</c:v>
                </c:pt>
                <c:pt idx="7">
                  <c:v>0.44587001800537002</c:v>
                </c:pt>
                <c:pt idx="8">
                  <c:v>0.50956573486328005</c:v>
                </c:pt>
                <c:pt idx="9">
                  <c:v>0.57326145172119003</c:v>
                </c:pt>
                <c:pt idx="10">
                  <c:v>0.63695716857910001</c:v>
                </c:pt>
                <c:pt idx="11">
                  <c:v>0.70065288543701176</c:v>
                </c:pt>
                <c:pt idx="12">
                  <c:v>0.76434860229492163</c:v>
                </c:pt>
                <c:pt idx="13">
                  <c:v>0.82804431915283172</c:v>
                </c:pt>
                <c:pt idx="14">
                  <c:v>0.8917400360107417</c:v>
                </c:pt>
                <c:pt idx="15">
                  <c:v>0.95543575286865168</c:v>
                </c:pt>
                <c:pt idx="16">
                  <c:v>1.0191314697265617</c:v>
                </c:pt>
                <c:pt idx="17">
                  <c:v>1.0828271865844716</c:v>
                </c:pt>
                <c:pt idx="18">
                  <c:v>1.1465229034423816</c:v>
                </c:pt>
                <c:pt idx="19">
                  <c:v>1.2102186203002918</c:v>
                </c:pt>
              </c:numCache>
            </c:numRef>
          </c:xVal>
          <c:yVal>
            <c:numRef>
              <c:f>'240627_triple_7_Cell 4_SPB'!$Z$5:$Z$24</c:f>
              <c:numCache>
                <c:formatCode>General</c:formatCode>
                <c:ptCount val="20"/>
                <c:pt idx="0">
                  <c:v>1.283267658983086</c:v>
                </c:pt>
                <c:pt idx="1">
                  <c:v>1.2952453065201814</c:v>
                </c:pt>
                <c:pt idx="2">
                  <c:v>1.3332693044121804</c:v>
                </c:pt>
                <c:pt idx="3">
                  <c:v>1.3503054205504823</c:v>
                </c:pt>
                <c:pt idx="4">
                  <c:v>1.3471948556393756</c:v>
                </c:pt>
                <c:pt idx="5">
                  <c:v>1.3581509273414767</c:v>
                </c:pt>
                <c:pt idx="6">
                  <c:v>1.3526610047866385</c:v>
                </c:pt>
                <c:pt idx="7">
                  <c:v>1.3818241582106721</c:v>
                </c:pt>
                <c:pt idx="8">
                  <c:v>1.4285930542840346</c:v>
                </c:pt>
                <c:pt idx="9">
                  <c:v>1.445691461139673</c:v>
                </c:pt>
                <c:pt idx="10">
                  <c:v>1.457929908313037</c:v>
                </c:pt>
                <c:pt idx="11">
                  <c:v>1.4710347569252287</c:v>
                </c:pt>
                <c:pt idx="12">
                  <c:v>1.5194275118646343</c:v>
                </c:pt>
                <c:pt idx="13">
                  <c:v>1.4908443983834911</c:v>
                </c:pt>
                <c:pt idx="14">
                  <c:v>1.4680008440426124</c:v>
                </c:pt>
                <c:pt idx="15">
                  <c:v>1.4706538861929936</c:v>
                </c:pt>
                <c:pt idx="16">
                  <c:v>1.4137593370386299</c:v>
                </c:pt>
                <c:pt idx="17">
                  <c:v>1.4148632412256765</c:v>
                </c:pt>
                <c:pt idx="18">
                  <c:v>1.4236705710491402</c:v>
                </c:pt>
                <c:pt idx="19">
                  <c:v>1.4261904067776057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DA-44A2-9292-C7EC94D46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692960"/>
        <c:axId val="611735712"/>
      </c:scatterChart>
      <c:valAx>
        <c:axId val="613692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735712"/>
        <c:crosses val="autoZero"/>
        <c:crossBetween val="midCat"/>
      </c:valAx>
      <c:valAx>
        <c:axId val="61173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369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461962</xdr:colOff>
      <xdr:row>12</xdr:row>
      <xdr:rowOff>19050</xdr:rowOff>
    </xdr:from>
    <xdr:to>
      <xdr:col>17</xdr:col>
      <xdr:colOff>157162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9CDADD-32FC-4874-AC38-8EACA1F452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4"/>
  <sheetViews>
    <sheetView tabSelected="1" topLeftCell="A4" workbookViewId="0">
      <selection activeCell="M6" sqref="M6"/>
    </sheetView>
  </sheetViews>
  <sheetFormatPr defaultRowHeight="15" x14ac:dyDescent="0.25"/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26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2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</row>
    <row r="4" spans="1:26" x14ac:dyDescent="0.25">
      <c r="B4" t="s">
        <v>30</v>
      </c>
      <c r="C4" t="s">
        <v>30</v>
      </c>
      <c r="D4" t="s">
        <v>30</v>
      </c>
      <c r="E4" t="s">
        <v>31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</row>
    <row r="5" spans="1:26" x14ac:dyDescent="0.25">
      <c r="A5">
        <v>0</v>
      </c>
      <c r="B5">
        <v>4.2225869289191804</v>
      </c>
      <c r="C5">
        <v>4.3658834733241898</v>
      </c>
      <c r="D5">
        <v>2.1502947034855802</v>
      </c>
      <c r="E5">
        <v>0</v>
      </c>
      <c r="F5">
        <v>0</v>
      </c>
      <c r="G5">
        <v>289.65925925925899</v>
      </c>
      <c r="H5">
        <v>285</v>
      </c>
      <c r="I5">
        <v>111</v>
      </c>
      <c r="J5">
        <v>485</v>
      </c>
      <c r="K5">
        <v>39104</v>
      </c>
      <c r="L5">
        <v>96.142320108603201</v>
      </c>
      <c r="M5">
        <v>1</v>
      </c>
      <c r="N5">
        <v>3.6950841063055999</v>
      </c>
      <c r="O5">
        <v>3.19681602997685</v>
      </c>
      <c r="P5">
        <v>2.1078922314827602</v>
      </c>
      <c r="Q5">
        <v>0</v>
      </c>
      <c r="R5">
        <v>0</v>
      </c>
      <c r="S5">
        <v>70.3333333333333</v>
      </c>
      <c r="T5">
        <v>69</v>
      </c>
      <c r="U5">
        <v>32</v>
      </c>
      <c r="V5">
        <v>117</v>
      </c>
      <c r="W5">
        <v>9495</v>
      </c>
      <c r="X5">
        <v>21.743415541330702</v>
      </c>
      <c r="Y5">
        <f>E5/60</f>
        <v>0</v>
      </c>
      <c r="Z5">
        <f>SQRT((B5-N5)^2+(C5-O5)^2+(D5-P5)^2)</f>
        <v>1.283267658983086</v>
      </c>
    </row>
    <row r="6" spans="1:26" x14ac:dyDescent="0.25">
      <c r="A6">
        <v>0</v>
      </c>
      <c r="B6">
        <v>4.0887095259936004</v>
      </c>
      <c r="C6">
        <v>4.3702576308039296</v>
      </c>
      <c r="D6">
        <v>1.9679683385545099</v>
      </c>
      <c r="E6">
        <v>3.8217430114746</v>
      </c>
      <c r="F6">
        <v>1</v>
      </c>
      <c r="G6">
        <v>108.548148148148</v>
      </c>
      <c r="H6">
        <v>106</v>
      </c>
      <c r="I6">
        <v>38</v>
      </c>
      <c r="J6">
        <v>179</v>
      </c>
      <c r="K6">
        <v>14654</v>
      </c>
      <c r="L6">
        <v>35.751989511182998</v>
      </c>
      <c r="M6">
        <v>1</v>
      </c>
      <c r="N6">
        <v>3.6666645771878099</v>
      </c>
      <c r="O6">
        <v>3.1541028786460199</v>
      </c>
      <c r="P6">
        <v>2.1111677940486202</v>
      </c>
      <c r="Q6">
        <v>3.8217430114746</v>
      </c>
      <c r="R6">
        <v>1</v>
      </c>
      <c r="S6">
        <v>50.6148148148148</v>
      </c>
      <c r="T6">
        <v>49</v>
      </c>
      <c r="U6">
        <v>20</v>
      </c>
      <c r="V6">
        <v>83</v>
      </c>
      <c r="W6">
        <v>6833</v>
      </c>
      <c r="X6">
        <v>15.331649629961399</v>
      </c>
      <c r="Y6">
        <f t="shared" ref="Y6:Y24" si="0">E6/60</f>
        <v>6.3695716857910006E-2</v>
      </c>
      <c r="Z6">
        <f t="shared" ref="Z6:Z24" si="1">SQRT((B6-N6)^2+(C6-O6)^2+(D6-P6)^2)</f>
        <v>1.2952453065201814</v>
      </c>
    </row>
    <row r="7" spans="1:26" x14ac:dyDescent="0.25">
      <c r="A7">
        <v>0</v>
      </c>
      <c r="B7">
        <v>4.0124711574830503</v>
      </c>
      <c r="C7">
        <v>4.3259136810916603</v>
      </c>
      <c r="D7">
        <v>2.1229982374418701</v>
      </c>
      <c r="E7">
        <v>7.6434860229492099</v>
      </c>
      <c r="F7">
        <v>2</v>
      </c>
      <c r="G7">
        <v>91.074074074074005</v>
      </c>
      <c r="H7">
        <v>86</v>
      </c>
      <c r="I7">
        <v>37</v>
      </c>
      <c r="J7">
        <v>153</v>
      </c>
      <c r="K7">
        <v>12295</v>
      </c>
      <c r="L7">
        <v>29.4895958454638</v>
      </c>
      <c r="M7">
        <v>1</v>
      </c>
      <c r="N7">
        <v>3.63646601463121</v>
      </c>
      <c r="O7">
        <v>3.04759444594105</v>
      </c>
      <c r="P7">
        <v>2.0768777031793002</v>
      </c>
      <c r="Q7">
        <v>7.6434860229492099</v>
      </c>
      <c r="R7">
        <v>2</v>
      </c>
      <c r="S7">
        <v>38.014814814814798</v>
      </c>
      <c r="T7">
        <v>37</v>
      </c>
      <c r="U7">
        <v>16</v>
      </c>
      <c r="V7">
        <v>62</v>
      </c>
      <c r="W7">
        <v>5132</v>
      </c>
      <c r="X7">
        <v>11.698312919050201</v>
      </c>
      <c r="Y7">
        <f t="shared" si="0"/>
        <v>0.12739143371582015</v>
      </c>
      <c r="Z7">
        <f t="shared" si="1"/>
        <v>1.3332693044121804</v>
      </c>
    </row>
    <row r="8" spans="1:26" x14ac:dyDescent="0.25">
      <c r="A8">
        <v>0</v>
      </c>
      <c r="B8">
        <v>4.0706341932318102</v>
      </c>
      <c r="C8">
        <v>4.3266392687530404</v>
      </c>
      <c r="D8">
        <v>2.1262764906313998</v>
      </c>
      <c r="E8">
        <v>11.4652290344238</v>
      </c>
      <c r="F8">
        <v>3</v>
      </c>
      <c r="G8">
        <v>49.007407407407399</v>
      </c>
      <c r="H8">
        <v>46</v>
      </c>
      <c r="I8">
        <v>18</v>
      </c>
      <c r="J8">
        <v>87</v>
      </c>
      <c r="K8">
        <v>6616</v>
      </c>
      <c r="L8">
        <v>17.654856968312899</v>
      </c>
      <c r="M8">
        <v>1</v>
      </c>
      <c r="N8">
        <v>3.5078831770355201</v>
      </c>
      <c r="O8">
        <v>3.1011568266859899</v>
      </c>
      <c r="P8">
        <v>2.1957661065710199</v>
      </c>
      <c r="Q8">
        <v>11.4652290344238</v>
      </c>
      <c r="R8">
        <v>3</v>
      </c>
      <c r="S8">
        <v>12.829629629629601</v>
      </c>
      <c r="T8">
        <v>12</v>
      </c>
      <c r="U8">
        <v>5</v>
      </c>
      <c r="V8">
        <v>24</v>
      </c>
      <c r="W8">
        <v>1732</v>
      </c>
      <c r="X8">
        <v>4.7340316678230296</v>
      </c>
      <c r="Y8">
        <f t="shared" si="0"/>
        <v>0.19108715057372999</v>
      </c>
      <c r="Z8">
        <f t="shared" si="1"/>
        <v>1.3503054205504823</v>
      </c>
    </row>
    <row r="9" spans="1:26" x14ac:dyDescent="0.25">
      <c r="A9">
        <v>0</v>
      </c>
      <c r="B9">
        <v>4.0431074469114003</v>
      </c>
      <c r="C9">
        <v>4.3182161483963197</v>
      </c>
      <c r="D9">
        <v>2.1567312362150401</v>
      </c>
      <c r="E9">
        <v>15.2869720458984</v>
      </c>
      <c r="F9">
        <v>4</v>
      </c>
      <c r="G9">
        <v>36.066666666666599</v>
      </c>
      <c r="H9">
        <v>33</v>
      </c>
      <c r="I9">
        <v>13</v>
      </c>
      <c r="J9">
        <v>66</v>
      </c>
      <c r="K9">
        <v>4869</v>
      </c>
      <c r="L9">
        <v>13.4747968167884</v>
      </c>
      <c r="M9">
        <v>1</v>
      </c>
      <c r="N9">
        <v>3.6039728494537999</v>
      </c>
      <c r="O9">
        <v>3.0447690760551098</v>
      </c>
      <c r="P9">
        <v>2.13605907322829</v>
      </c>
      <c r="Q9">
        <v>15.2869720458984</v>
      </c>
      <c r="R9">
        <v>4</v>
      </c>
      <c r="S9">
        <v>8.6592592592592599</v>
      </c>
      <c r="T9">
        <v>8</v>
      </c>
      <c r="U9">
        <v>3</v>
      </c>
      <c r="V9">
        <v>15</v>
      </c>
      <c r="W9">
        <v>1169</v>
      </c>
      <c r="X9">
        <v>3.0374846304210701</v>
      </c>
      <c r="Y9">
        <f t="shared" si="0"/>
        <v>0.25478286743164003</v>
      </c>
      <c r="Z9">
        <f t="shared" si="1"/>
        <v>1.3471948556393756</v>
      </c>
    </row>
    <row r="10" spans="1:26" x14ac:dyDescent="0.25">
      <c r="A10">
        <v>0</v>
      </c>
      <c r="B10">
        <v>3.9923750504892399</v>
      </c>
      <c r="C10">
        <v>4.3354478848259097</v>
      </c>
      <c r="D10">
        <v>2.0016607535689901</v>
      </c>
      <c r="E10">
        <v>19.108715057373001</v>
      </c>
      <c r="F10">
        <v>5</v>
      </c>
      <c r="G10">
        <v>16.118518518518499</v>
      </c>
      <c r="H10">
        <v>16</v>
      </c>
      <c r="I10">
        <v>4</v>
      </c>
      <c r="J10">
        <v>28</v>
      </c>
      <c r="K10">
        <v>2176</v>
      </c>
      <c r="L10">
        <v>6.3305134684248303</v>
      </c>
      <c r="M10">
        <v>1</v>
      </c>
      <c r="N10">
        <v>3.5625216048211099</v>
      </c>
      <c r="O10">
        <v>3.0556051536465501</v>
      </c>
      <c r="P10">
        <v>2.1493175858968798</v>
      </c>
      <c r="Q10">
        <v>19.108715057373001</v>
      </c>
      <c r="R10">
        <v>5</v>
      </c>
      <c r="S10">
        <v>7.6</v>
      </c>
      <c r="T10">
        <v>7</v>
      </c>
      <c r="U10">
        <v>3</v>
      </c>
      <c r="V10">
        <v>13</v>
      </c>
      <c r="W10">
        <v>1026</v>
      </c>
      <c r="X10">
        <v>2.5748496550805902</v>
      </c>
      <c r="Y10">
        <f t="shared" si="0"/>
        <v>0.31847858428955</v>
      </c>
      <c r="Z10">
        <f t="shared" si="1"/>
        <v>1.3581509273414767</v>
      </c>
    </row>
    <row r="11" spans="1:26" x14ac:dyDescent="0.25">
      <c r="A11">
        <v>0</v>
      </c>
      <c r="B11">
        <v>3.8907175613046698</v>
      </c>
      <c r="C11">
        <v>4.2968761847956696</v>
      </c>
      <c r="D11">
        <v>2.0414766717193098</v>
      </c>
      <c r="E11">
        <v>22.930458068847599</v>
      </c>
      <c r="F11">
        <v>6</v>
      </c>
      <c r="G11">
        <v>32.933333333333302</v>
      </c>
      <c r="H11">
        <v>31</v>
      </c>
      <c r="I11">
        <v>10</v>
      </c>
      <c r="J11">
        <v>59</v>
      </c>
      <c r="K11">
        <v>4446</v>
      </c>
      <c r="L11">
        <v>13.004132523416001</v>
      </c>
      <c r="M11">
        <v>1</v>
      </c>
      <c r="N11">
        <v>3.64760456316505</v>
      </c>
      <c r="O11">
        <v>2.9880614050489198</v>
      </c>
      <c r="P11">
        <v>2.2814594551068499</v>
      </c>
      <c r="Q11">
        <v>22.930458068847599</v>
      </c>
      <c r="R11">
        <v>6</v>
      </c>
      <c r="S11">
        <v>30.925925925925899</v>
      </c>
      <c r="T11">
        <v>30</v>
      </c>
      <c r="U11">
        <v>8</v>
      </c>
      <c r="V11">
        <v>57</v>
      </c>
      <c r="W11">
        <v>4175</v>
      </c>
      <c r="X11">
        <v>12.9174356482165</v>
      </c>
      <c r="Y11">
        <f t="shared" si="0"/>
        <v>0.38217430114745998</v>
      </c>
      <c r="Z11">
        <f t="shared" si="1"/>
        <v>1.3526610047866385</v>
      </c>
    </row>
    <row r="12" spans="1:26" x14ac:dyDescent="0.25">
      <c r="A12">
        <v>0</v>
      </c>
      <c r="B12">
        <v>3.8919419430906901</v>
      </c>
      <c r="C12">
        <v>4.3365942015680696</v>
      </c>
      <c r="D12">
        <v>2.04703660978371</v>
      </c>
      <c r="E12">
        <v>26.752201080322202</v>
      </c>
      <c r="F12">
        <v>7</v>
      </c>
      <c r="G12">
        <v>30.607407407407401</v>
      </c>
      <c r="H12">
        <v>29</v>
      </c>
      <c r="I12">
        <v>8</v>
      </c>
      <c r="J12">
        <v>55</v>
      </c>
      <c r="K12">
        <v>4132</v>
      </c>
      <c r="L12">
        <v>12.2779357350847</v>
      </c>
      <c r="M12">
        <v>1</v>
      </c>
      <c r="N12">
        <v>3.5913481117628399</v>
      </c>
      <c r="O12">
        <v>2.9878926214875401</v>
      </c>
      <c r="P12">
        <v>2.0562778581062902</v>
      </c>
      <c r="Q12">
        <v>26.752201080322202</v>
      </c>
      <c r="R12">
        <v>7</v>
      </c>
      <c r="S12">
        <v>10.370370370370299</v>
      </c>
      <c r="T12">
        <v>10</v>
      </c>
      <c r="U12">
        <v>3</v>
      </c>
      <c r="V12">
        <v>17</v>
      </c>
      <c r="W12">
        <v>1400</v>
      </c>
      <c r="X12">
        <v>3.5275900630383399</v>
      </c>
      <c r="Y12">
        <f t="shared" si="0"/>
        <v>0.44587001800537002</v>
      </c>
      <c r="Z12">
        <f t="shared" si="1"/>
        <v>1.3818241582106721</v>
      </c>
    </row>
    <row r="13" spans="1:26" x14ac:dyDescent="0.25">
      <c r="A13">
        <v>0</v>
      </c>
      <c r="B13">
        <v>3.8478222306246699</v>
      </c>
      <c r="C13">
        <v>4.3182785336004503</v>
      </c>
      <c r="D13">
        <v>1.92653349745882</v>
      </c>
      <c r="E13">
        <v>30.5739440917968</v>
      </c>
      <c r="F13">
        <v>8</v>
      </c>
      <c r="G13">
        <v>55.207407407407402</v>
      </c>
      <c r="H13">
        <v>50</v>
      </c>
      <c r="I13">
        <v>21</v>
      </c>
      <c r="J13">
        <v>102</v>
      </c>
      <c r="K13">
        <v>7453</v>
      </c>
      <c r="L13">
        <v>21.404454933249198</v>
      </c>
      <c r="M13">
        <v>1</v>
      </c>
      <c r="N13">
        <v>3.59609806425251</v>
      </c>
      <c r="O13">
        <v>2.9269076096512601</v>
      </c>
      <c r="P13">
        <v>2.1304943044821401</v>
      </c>
      <c r="Q13">
        <v>30.5739440917968</v>
      </c>
      <c r="R13">
        <v>8</v>
      </c>
      <c r="S13">
        <v>19.6962962962962</v>
      </c>
      <c r="T13">
        <v>19</v>
      </c>
      <c r="U13">
        <v>6</v>
      </c>
      <c r="V13">
        <v>36</v>
      </c>
      <c r="W13">
        <v>2659</v>
      </c>
      <c r="X13">
        <v>7.8666821260775004</v>
      </c>
      <c r="Y13">
        <f t="shared" si="0"/>
        <v>0.50956573486328005</v>
      </c>
      <c r="Z13">
        <f t="shared" si="1"/>
        <v>1.4285930542840346</v>
      </c>
    </row>
    <row r="14" spans="1:26" x14ac:dyDescent="0.25">
      <c r="A14">
        <v>0</v>
      </c>
      <c r="B14">
        <v>3.8645597294376302</v>
      </c>
      <c r="C14">
        <v>4.3325475691725002</v>
      </c>
      <c r="D14">
        <v>1.9615035633412401</v>
      </c>
      <c r="E14">
        <v>34.395687103271399</v>
      </c>
      <c r="F14">
        <v>9</v>
      </c>
      <c r="G14">
        <v>45.740740740740698</v>
      </c>
      <c r="H14">
        <v>43</v>
      </c>
      <c r="I14">
        <v>13</v>
      </c>
      <c r="J14">
        <v>83</v>
      </c>
      <c r="K14">
        <v>6175</v>
      </c>
      <c r="L14">
        <v>18.567731181764</v>
      </c>
      <c r="M14">
        <v>1</v>
      </c>
      <c r="N14">
        <v>3.6802274367757999</v>
      </c>
      <c r="O14">
        <v>2.9347707575659601</v>
      </c>
      <c r="P14">
        <v>2.2812931685964002</v>
      </c>
      <c r="Q14">
        <v>34.395687103271399</v>
      </c>
      <c r="R14">
        <v>9</v>
      </c>
      <c r="S14">
        <v>30.0296296296296</v>
      </c>
      <c r="T14">
        <v>29</v>
      </c>
      <c r="U14">
        <v>10</v>
      </c>
      <c r="V14">
        <v>53</v>
      </c>
      <c r="W14">
        <v>4054</v>
      </c>
      <c r="X14">
        <v>11.0803986812943</v>
      </c>
      <c r="Y14">
        <f t="shared" si="0"/>
        <v>0.57326145172119003</v>
      </c>
      <c r="Z14">
        <f t="shared" si="1"/>
        <v>1.445691461139673</v>
      </c>
    </row>
    <row r="15" spans="1:26" x14ac:dyDescent="0.25">
      <c r="A15">
        <v>0</v>
      </c>
      <c r="B15">
        <v>3.8275454922317098</v>
      </c>
      <c r="C15">
        <v>4.3391703085344702</v>
      </c>
      <c r="D15">
        <v>2.0112458865923699</v>
      </c>
      <c r="E15">
        <v>38.217430114746001</v>
      </c>
      <c r="F15">
        <v>10</v>
      </c>
      <c r="G15">
        <v>28.718518518518501</v>
      </c>
      <c r="H15">
        <v>28</v>
      </c>
      <c r="I15">
        <v>9</v>
      </c>
      <c r="J15">
        <v>52</v>
      </c>
      <c r="K15">
        <v>3877</v>
      </c>
      <c r="L15">
        <v>11.2353731459676</v>
      </c>
      <c r="M15">
        <v>1</v>
      </c>
      <c r="N15">
        <v>3.6543701746138399</v>
      </c>
      <c r="O15">
        <v>2.9204458393463399</v>
      </c>
      <c r="P15">
        <v>2.2989798043852998</v>
      </c>
      <c r="Q15">
        <v>38.217430114746001</v>
      </c>
      <c r="R15">
        <v>10</v>
      </c>
      <c r="S15">
        <v>24.481481481481399</v>
      </c>
      <c r="T15">
        <v>23</v>
      </c>
      <c r="U15">
        <v>7</v>
      </c>
      <c r="V15">
        <v>44</v>
      </c>
      <c r="W15">
        <v>3305</v>
      </c>
      <c r="X15">
        <v>9.0922731274777693</v>
      </c>
      <c r="Y15">
        <f t="shared" si="0"/>
        <v>0.63695716857910001</v>
      </c>
      <c r="Z15">
        <f t="shared" si="1"/>
        <v>1.457929908313037</v>
      </c>
    </row>
    <row r="16" spans="1:26" x14ac:dyDescent="0.25">
      <c r="A16">
        <v>0</v>
      </c>
      <c r="B16">
        <v>3.87113906195599</v>
      </c>
      <c r="C16">
        <v>4.4026584413161398</v>
      </c>
      <c r="D16">
        <v>2.0436521767125999</v>
      </c>
      <c r="E16">
        <v>42.039173126220703</v>
      </c>
      <c r="F16">
        <v>11</v>
      </c>
      <c r="G16">
        <v>29.1703703703703</v>
      </c>
      <c r="H16">
        <v>28</v>
      </c>
      <c r="I16">
        <v>8</v>
      </c>
      <c r="J16">
        <v>53</v>
      </c>
      <c r="K16">
        <v>3938</v>
      </c>
      <c r="L16">
        <v>11.496619062220001</v>
      </c>
      <c r="M16">
        <v>1</v>
      </c>
      <c r="N16">
        <v>3.6603145568076498</v>
      </c>
      <c r="O16">
        <v>2.9655115441659099</v>
      </c>
      <c r="P16">
        <v>2.2762571640247602</v>
      </c>
      <c r="Q16">
        <v>42.039173126220703</v>
      </c>
      <c r="R16">
        <v>11</v>
      </c>
      <c r="S16">
        <v>25.237037037036998</v>
      </c>
      <c r="T16">
        <v>24</v>
      </c>
      <c r="U16">
        <v>9</v>
      </c>
      <c r="V16">
        <v>45</v>
      </c>
      <c r="W16">
        <v>3407</v>
      </c>
      <c r="X16">
        <v>9.4594242728215097</v>
      </c>
      <c r="Y16">
        <f t="shared" si="0"/>
        <v>0.70065288543701176</v>
      </c>
      <c r="Z16">
        <f t="shared" si="1"/>
        <v>1.4710347569252287</v>
      </c>
    </row>
    <row r="17" spans="1:26" x14ac:dyDescent="0.25">
      <c r="A17">
        <v>0</v>
      </c>
      <c r="B17">
        <v>3.8744060201855199</v>
      </c>
      <c r="C17">
        <v>4.4658101350779997</v>
      </c>
      <c r="D17">
        <v>2.07640656702978</v>
      </c>
      <c r="E17">
        <v>45.860916137695298</v>
      </c>
      <c r="F17">
        <v>12</v>
      </c>
      <c r="G17">
        <v>38.585185185185097</v>
      </c>
      <c r="H17">
        <v>36</v>
      </c>
      <c r="I17">
        <v>11</v>
      </c>
      <c r="J17">
        <v>72</v>
      </c>
      <c r="K17">
        <v>5209</v>
      </c>
      <c r="L17">
        <v>15.669813734229599</v>
      </c>
      <c r="M17">
        <v>1</v>
      </c>
      <c r="N17">
        <v>3.6232221978241999</v>
      </c>
      <c r="O17">
        <v>2.9854086010632002</v>
      </c>
      <c r="P17">
        <v>2.30873811736623</v>
      </c>
      <c r="Q17">
        <v>45.860916137695298</v>
      </c>
      <c r="R17">
        <v>12</v>
      </c>
      <c r="S17">
        <v>20.148148148148099</v>
      </c>
      <c r="T17">
        <v>19</v>
      </c>
      <c r="U17">
        <v>6</v>
      </c>
      <c r="V17">
        <v>35</v>
      </c>
      <c r="W17">
        <v>2720</v>
      </c>
      <c r="X17">
        <v>7.6231369326745098</v>
      </c>
      <c r="Y17">
        <f t="shared" si="0"/>
        <v>0.76434860229492163</v>
      </c>
      <c r="Z17">
        <f t="shared" si="1"/>
        <v>1.5194275118646343</v>
      </c>
    </row>
    <row r="18" spans="1:26" x14ac:dyDescent="0.25">
      <c r="A18">
        <v>0</v>
      </c>
      <c r="B18">
        <v>3.9363367186361198</v>
      </c>
      <c r="C18">
        <v>4.4936770996702897</v>
      </c>
      <c r="D18">
        <v>2.1319379027704199</v>
      </c>
      <c r="E18">
        <v>49.682659149169901</v>
      </c>
      <c r="F18">
        <v>13</v>
      </c>
      <c r="G18">
        <v>40.807407407407403</v>
      </c>
      <c r="H18">
        <v>39</v>
      </c>
      <c r="I18">
        <v>11</v>
      </c>
      <c r="J18">
        <v>74</v>
      </c>
      <c r="K18">
        <v>5509</v>
      </c>
      <c r="L18">
        <v>16.471366514958401</v>
      </c>
      <c r="M18">
        <v>1</v>
      </c>
      <c r="N18">
        <v>3.6582781712994499</v>
      </c>
      <c r="O18">
        <v>3.0297707476454598</v>
      </c>
      <c r="P18">
        <v>2.1796731826565701</v>
      </c>
      <c r="Q18">
        <v>49.682659149169901</v>
      </c>
      <c r="R18">
        <v>13</v>
      </c>
      <c r="S18">
        <v>15.422222222222199</v>
      </c>
      <c r="T18">
        <v>15</v>
      </c>
      <c r="U18">
        <v>5</v>
      </c>
      <c r="V18">
        <v>28</v>
      </c>
      <c r="W18">
        <v>2082</v>
      </c>
      <c r="X18">
        <v>5.7852961671200198</v>
      </c>
      <c r="Y18">
        <f t="shared" si="0"/>
        <v>0.82804431915283172</v>
      </c>
      <c r="Z18">
        <f t="shared" si="1"/>
        <v>1.4908443983834911</v>
      </c>
    </row>
    <row r="19" spans="1:26" x14ac:dyDescent="0.25">
      <c r="A19">
        <v>0</v>
      </c>
      <c r="B19">
        <v>3.9574822103526799</v>
      </c>
      <c r="C19">
        <v>4.43411759612792</v>
      </c>
      <c r="D19">
        <v>2.1489001207717102</v>
      </c>
      <c r="E19">
        <v>53.504402160644503</v>
      </c>
      <c r="F19">
        <v>14</v>
      </c>
      <c r="G19">
        <v>33.792592592592499</v>
      </c>
      <c r="H19">
        <v>32</v>
      </c>
      <c r="I19">
        <v>9</v>
      </c>
      <c r="J19">
        <v>62</v>
      </c>
      <c r="K19">
        <v>4562</v>
      </c>
      <c r="L19">
        <v>13.902698275791799</v>
      </c>
      <c r="M19">
        <v>1</v>
      </c>
      <c r="N19">
        <v>3.6188636570563801</v>
      </c>
      <c r="O19">
        <v>3.0057046543212498</v>
      </c>
      <c r="P19">
        <v>2.1495490834497599</v>
      </c>
      <c r="Q19">
        <v>53.504402160644503</v>
      </c>
      <c r="R19">
        <v>14</v>
      </c>
      <c r="S19">
        <v>12.259259259259199</v>
      </c>
      <c r="T19">
        <v>12</v>
      </c>
      <c r="U19">
        <v>4</v>
      </c>
      <c r="V19">
        <v>22</v>
      </c>
      <c r="W19">
        <v>1655</v>
      </c>
      <c r="X19">
        <v>4.8159606579735099</v>
      </c>
      <c r="Y19">
        <f t="shared" si="0"/>
        <v>0.8917400360107417</v>
      </c>
      <c r="Z19">
        <f t="shared" si="1"/>
        <v>1.4680008440426124</v>
      </c>
    </row>
    <row r="20" spans="1:26" x14ac:dyDescent="0.25">
      <c r="A20">
        <v>0</v>
      </c>
      <c r="B20">
        <v>3.9673723944222798</v>
      </c>
      <c r="C20">
        <v>4.3964269963286897</v>
      </c>
      <c r="D20">
        <v>2.0794214490599701</v>
      </c>
      <c r="E20">
        <v>57.326145172119098</v>
      </c>
      <c r="F20">
        <v>15</v>
      </c>
      <c r="G20">
        <v>33.977777777777703</v>
      </c>
      <c r="H20">
        <v>33</v>
      </c>
      <c r="I20">
        <v>10</v>
      </c>
      <c r="J20">
        <v>62</v>
      </c>
      <c r="K20">
        <v>4587</v>
      </c>
      <c r="L20">
        <v>13.6859589593428</v>
      </c>
      <c r="M20">
        <v>1</v>
      </c>
      <c r="N20">
        <v>3.6305677785847199</v>
      </c>
      <c r="O20">
        <v>2.9791387366861701</v>
      </c>
      <c r="P20">
        <v>2.2811130274774798</v>
      </c>
      <c r="Q20">
        <v>57.326145172119098</v>
      </c>
      <c r="R20">
        <v>15</v>
      </c>
      <c r="S20">
        <v>15.066666666666601</v>
      </c>
      <c r="T20">
        <v>14</v>
      </c>
      <c r="U20">
        <v>6</v>
      </c>
      <c r="V20">
        <v>27</v>
      </c>
      <c r="W20">
        <v>2034</v>
      </c>
      <c r="X20">
        <v>5.5384679168224498</v>
      </c>
      <c r="Y20">
        <f t="shared" si="0"/>
        <v>0.95543575286865168</v>
      </c>
      <c r="Z20">
        <f t="shared" si="1"/>
        <v>1.4706538861929936</v>
      </c>
    </row>
    <row r="21" spans="1:26" x14ac:dyDescent="0.25">
      <c r="A21">
        <v>0</v>
      </c>
      <c r="B21">
        <v>4.0152941423254704</v>
      </c>
      <c r="C21">
        <v>4.3920829382559097</v>
      </c>
      <c r="D21">
        <v>2.0910034807173301</v>
      </c>
      <c r="E21">
        <v>61.1478881835937</v>
      </c>
      <c r="F21">
        <v>16</v>
      </c>
      <c r="G21">
        <v>24.8888888888888</v>
      </c>
      <c r="H21">
        <v>24</v>
      </c>
      <c r="I21">
        <v>8</v>
      </c>
      <c r="J21">
        <v>45</v>
      </c>
      <c r="K21">
        <v>3360</v>
      </c>
      <c r="L21">
        <v>9.8129267977657104</v>
      </c>
      <c r="M21">
        <v>1</v>
      </c>
      <c r="N21">
        <v>3.72224426758005</v>
      </c>
      <c r="O21">
        <v>3.0489334956917502</v>
      </c>
      <c r="P21">
        <v>2.4208319344856299</v>
      </c>
      <c r="Q21">
        <v>61.1478881835937</v>
      </c>
      <c r="R21">
        <v>16</v>
      </c>
      <c r="S21">
        <v>47.681481481481399</v>
      </c>
      <c r="T21">
        <v>45</v>
      </c>
      <c r="U21">
        <v>15</v>
      </c>
      <c r="V21">
        <v>88</v>
      </c>
      <c r="W21">
        <v>6437</v>
      </c>
      <c r="X21">
        <v>19.277491263922901</v>
      </c>
      <c r="Y21">
        <f t="shared" si="0"/>
        <v>1.0191314697265617</v>
      </c>
      <c r="Z21">
        <f t="shared" si="1"/>
        <v>1.4137593370386299</v>
      </c>
    </row>
    <row r="22" spans="1:26" x14ac:dyDescent="0.25">
      <c r="A22">
        <v>0</v>
      </c>
      <c r="B22">
        <v>4.0581617152427398</v>
      </c>
      <c r="C22">
        <v>4.4405956488027796</v>
      </c>
      <c r="D22">
        <v>2.1070925471095099</v>
      </c>
      <c r="E22">
        <v>64.969631195068303</v>
      </c>
      <c r="F22">
        <v>17</v>
      </c>
      <c r="G22">
        <v>23.837037037037</v>
      </c>
      <c r="H22">
        <v>24</v>
      </c>
      <c r="I22">
        <v>8</v>
      </c>
      <c r="J22">
        <v>43</v>
      </c>
      <c r="K22">
        <v>3218</v>
      </c>
      <c r="L22">
        <v>9.1783387169517496</v>
      </c>
      <c r="M22">
        <v>1</v>
      </c>
      <c r="N22">
        <v>3.6118555956387901</v>
      </c>
      <c r="O22">
        <v>3.1212149272212799</v>
      </c>
      <c r="P22">
        <v>2.3558561909459299</v>
      </c>
      <c r="Q22">
        <v>64.969631195068303</v>
      </c>
      <c r="R22">
        <v>17</v>
      </c>
      <c r="S22">
        <v>13.607407407407401</v>
      </c>
      <c r="T22">
        <v>13</v>
      </c>
      <c r="U22">
        <v>5</v>
      </c>
      <c r="V22">
        <v>24</v>
      </c>
      <c r="W22">
        <v>1837</v>
      </c>
      <c r="X22">
        <v>5.0358361980288402</v>
      </c>
      <c r="Y22">
        <f t="shared" si="0"/>
        <v>1.0828271865844716</v>
      </c>
      <c r="Z22">
        <f t="shared" si="1"/>
        <v>1.4148632412256765</v>
      </c>
    </row>
    <row r="23" spans="1:26" x14ac:dyDescent="0.25">
      <c r="A23">
        <v>0</v>
      </c>
      <c r="B23">
        <v>4.1533554463067501</v>
      </c>
      <c r="C23">
        <v>4.3896725331274</v>
      </c>
      <c r="D23">
        <v>2.1340214859682698</v>
      </c>
      <c r="E23">
        <v>68.791374206542898</v>
      </c>
      <c r="F23">
        <v>18</v>
      </c>
      <c r="G23">
        <v>46.3333333333333</v>
      </c>
      <c r="H23">
        <v>46</v>
      </c>
      <c r="I23">
        <v>18</v>
      </c>
      <c r="J23">
        <v>76</v>
      </c>
      <c r="K23">
        <v>6255</v>
      </c>
      <c r="L23">
        <v>14.8761052518018</v>
      </c>
      <c r="M23">
        <v>1</v>
      </c>
      <c r="N23">
        <v>3.5029521313986902</v>
      </c>
      <c r="O23">
        <v>3.12521852447933</v>
      </c>
      <c r="P23">
        <v>2.20451604492014</v>
      </c>
      <c r="Q23">
        <v>68.791374206542898</v>
      </c>
      <c r="R23">
        <v>18</v>
      </c>
      <c r="S23">
        <v>15.4148148148148</v>
      </c>
      <c r="T23">
        <v>15</v>
      </c>
      <c r="U23">
        <v>6</v>
      </c>
      <c r="V23">
        <v>24</v>
      </c>
      <c r="W23">
        <v>2081</v>
      </c>
      <c r="X23">
        <v>4.5192543057871699</v>
      </c>
      <c r="Y23">
        <f t="shared" si="0"/>
        <v>1.1465229034423816</v>
      </c>
      <c r="Z23">
        <f t="shared" si="1"/>
        <v>1.4236705710491402</v>
      </c>
    </row>
    <row r="24" spans="1:26" x14ac:dyDescent="0.25">
      <c r="A24">
        <v>0</v>
      </c>
      <c r="B24">
        <v>4.1643369604439897</v>
      </c>
      <c r="C24">
        <v>4.3617184870570602</v>
      </c>
      <c r="D24">
        <v>2.1833688445358899</v>
      </c>
      <c r="E24">
        <v>72.613117218017507</v>
      </c>
      <c r="F24">
        <v>19</v>
      </c>
      <c r="G24">
        <v>33.792592592592499</v>
      </c>
      <c r="H24">
        <v>34</v>
      </c>
      <c r="I24">
        <v>14</v>
      </c>
      <c r="J24">
        <v>54</v>
      </c>
      <c r="K24">
        <v>4562</v>
      </c>
      <c r="L24">
        <v>9.9970863638170293</v>
      </c>
      <c r="M24">
        <v>1</v>
      </c>
      <c r="N24">
        <v>3.5208039119874899</v>
      </c>
      <c r="O24">
        <v>3.1001756461740002</v>
      </c>
      <c r="P24">
        <v>2.35187389652382</v>
      </c>
      <c r="Q24">
        <v>72.613117218017507</v>
      </c>
      <c r="R24">
        <v>19</v>
      </c>
      <c r="S24">
        <v>22.711111111111101</v>
      </c>
      <c r="T24">
        <v>22</v>
      </c>
      <c r="U24">
        <v>8</v>
      </c>
      <c r="V24">
        <v>37</v>
      </c>
      <c r="W24">
        <v>3066</v>
      </c>
      <c r="X24">
        <v>7.1067202447272297</v>
      </c>
      <c r="Y24">
        <f t="shared" si="0"/>
        <v>1.2102186203002918</v>
      </c>
      <c r="Z24">
        <f t="shared" si="1"/>
        <v>1.4261904067776057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240627_triple_7_Cell 4_SPB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2024-12-05T19:43:17Z</dcterms:created>
  <dcterms:modified xsi:type="dcterms:W3CDTF">2024-12-05T19:44:29Z</dcterms:modified>
</cp:coreProperties>
</file>