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Anaphase A\"/>
    </mc:Choice>
  </mc:AlternateContent>
  <xr:revisionPtr revIDLastSave="0" documentId="13_ncr:1_{F2C33316-87CB-4E85-B6E8-F0AB6BD08E6C}" xr6:coauthVersionLast="45" xr6:coauthVersionMax="45" xr10:uidLastSave="{00000000-0000-0000-0000-000000000000}"/>
  <bookViews>
    <workbookView xWindow="1500" yWindow="465" windowWidth="24165" windowHeight="14565" xr2:uid="{00000000-000D-0000-FFFF-FFFF00000000}"/>
  </bookViews>
  <sheets>
    <sheet name="240627_triple_12_Cell 6_Kar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14" i="1" l="1"/>
  <c r="W6" i="1"/>
  <c r="W7" i="1"/>
  <c r="W8" i="1"/>
  <c r="W9" i="1"/>
  <c r="W10" i="1"/>
  <c r="W11" i="1"/>
  <c r="W12" i="1"/>
  <c r="W13" i="1"/>
  <c r="W14" i="1"/>
  <c r="W15" i="1"/>
  <c r="W18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19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18" i="1"/>
  <c r="V17" i="1"/>
  <c r="V6" i="1"/>
  <c r="V7" i="1"/>
  <c r="V8" i="1"/>
  <c r="V9" i="1"/>
  <c r="V10" i="1"/>
  <c r="V11" i="1"/>
  <c r="V12" i="1"/>
  <c r="V13" i="1"/>
  <c r="V14" i="1"/>
  <c r="V15" i="1"/>
  <c r="V5" i="1"/>
</calcChain>
</file>

<file path=xl/sharedStrings.xml><?xml version="1.0" encoding="utf-8"?>
<sst xmlns="http://schemas.openxmlformats.org/spreadsheetml/2006/main" count="104" uniqueCount="86">
  <si>
    <t>LABEL</t>
  </si>
  <si>
    <t>ID</t>
  </si>
  <si>
    <t>TRACK_ID</t>
  </si>
  <si>
    <t>QUALITY</t>
  </si>
  <si>
    <t>POSITION_X</t>
  </si>
  <si>
    <t>POSITION_Y</t>
  </si>
  <si>
    <t>POSITION_Z</t>
  </si>
  <si>
    <t>POSITION_T</t>
  </si>
  <si>
    <t>FRAME</t>
  </si>
  <si>
    <t>RADIUS</t>
  </si>
  <si>
    <t>VISIBILITY</t>
  </si>
  <si>
    <t>MANUAL_SPOT_COLOR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</si>
  <si>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</si>
  <si>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</si>
  <si>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</si>
  <si>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</si>
  <si>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</si>
  <si>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</si>
  <si>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CONTRAST_CH1</t>
  </si>
  <si>
    <t>SNR_CH1</t>
  </si>
  <si>
    <t>Label</t>
  </si>
  <si>
    <t>Spot ID</t>
  </si>
  <si>
    <t>Track ID</t>
  </si>
  <si>
    <t>Quality</t>
  </si>
  <si>
    <t>X</t>
  </si>
  <si>
    <t>Y</t>
  </si>
  <si>
    <t>Z</t>
  </si>
  <si>
    <t>T</t>
  </si>
  <si>
    <t>Frame</t>
  </si>
  <si>
    <t>Radius</t>
  </si>
  <si>
    <t>Visibility</t>
  </si>
  <si>
    <t>Manual spot color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</si>
  <si>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</si>
  <si>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</si>
  <si>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</si>
  <si>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</si>
  <si>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</si>
  <si>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</si>
  <si>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Contrast ch1</t>
  </si>
  <si>
    <t>Signal/Noise ratio ch1</t>
  </si>
  <si>
    <t>R</t>
  </si>
  <si>
    <t>Spot color</t>
  </si>
  <si>
    <t>Mean ch1</t>
  </si>
  <si>
    <t>Median ch1</t>
  </si>
  <si>
    <t>Min ch1</t>
  </si>
  <si>
    <t>Max ch1</t>
  </si>
  <si>
    <t>Sum ch1</t>
  </si>
  <si>
    <t>Std ch1</t>
  </si>
  <si>
    <t>Ctrst ch1</t>
  </si>
  <si>
    <t>SNR ch1</t>
  </si>
  <si>
    <t>(quality)</t>
  </si>
  <si>
    <t>(micron)</t>
  </si>
  <si>
    <t>(sec)</t>
  </si>
  <si>
    <t>(counts)</t>
  </si>
  <si>
    <t>ID1810291</t>
  </si>
  <si>
    <t>ID1810270</t>
  </si>
  <si>
    <t>ID1810298</t>
  </si>
  <si>
    <t>ID1810276</t>
  </si>
  <si>
    <t>ID1810260</t>
  </si>
  <si>
    <t>ID1810265</t>
  </si>
  <si>
    <t>ID1810284</t>
  </si>
  <si>
    <t>ID1810281</t>
  </si>
  <si>
    <t>ID1810321</t>
  </si>
  <si>
    <t>ID1810304</t>
  </si>
  <si>
    <t>ID1810314</t>
  </si>
  <si>
    <t>ID1810310</t>
  </si>
  <si>
    <t>ID1810295</t>
  </si>
  <si>
    <t>ID1810271</t>
  </si>
  <si>
    <t>ID1810301</t>
  </si>
  <si>
    <t>ID1810278</t>
  </si>
  <si>
    <t>ID1810262</t>
  </si>
  <si>
    <t>ID1810269</t>
  </si>
  <si>
    <t>ID1810287</t>
  </si>
  <si>
    <t>ID1810282</t>
  </si>
  <si>
    <t>ID1810324</t>
  </si>
  <si>
    <t>ID1810306</t>
  </si>
  <si>
    <t>ID1810316</t>
  </si>
  <si>
    <t>ID1810327</t>
  </si>
  <si>
    <t>ID1810312</t>
  </si>
  <si>
    <t>ID1810319</t>
  </si>
  <si>
    <t>ID1810331</t>
  </si>
  <si>
    <t>ID1810335</t>
  </si>
  <si>
    <t>ID1810341</t>
  </si>
  <si>
    <t>ID1810338</t>
  </si>
  <si>
    <t>ID1810347</t>
  </si>
  <si>
    <t>ID1810345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</si>
</sst>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7905730533683289E-2"/>
                  <c:y val="0.114029965004374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'240627_triple_12_Cell 6_Kar9'!$H$5:$H$17</c:f>
              <c:numCache>
                <c:formatCode>General</c:formatCode>
                <c:ptCount val="13"/>
                <c:pt idx="0">
                  <c:v>0</c:v>
                </c:pt>
                <c:pt idx="1">
                  <c:v>3.82174515724182</c:v>
                </c:pt>
                <c:pt idx="2">
                  <c:v>7.6434903144836399</c:v>
                </c:pt>
                <c:pt idx="3">
                  <c:v>11.4652354717254</c:v>
                </c:pt>
                <c:pt idx="4">
                  <c:v>15.2869806289672</c:v>
                </c:pt>
                <c:pt idx="5">
                  <c:v>19.108725786209099</c:v>
                </c:pt>
                <c:pt idx="6">
                  <c:v>22.930470943450899</c:v>
                </c:pt>
                <c:pt idx="7">
                  <c:v>26.752216100692699</c:v>
                </c:pt>
                <c:pt idx="8">
                  <c:v>30.573961257934499</c:v>
                </c:pt>
                <c:pt idx="9">
                  <c:v>34.395706415176299</c:v>
                </c:pt>
                <c:pt idx="10">
                  <c:v>38.217451572418199</c:v>
                </c:pt>
                <c:pt idx="12">
                  <c:v>45.860941886901799</c:v>
                </c:pt>
              </c:numCache>
            </c:numRef>
          </c:xVal>
          <c:yVal>
            <c:numRef>
              <c:f>'240627_triple_12_Cell 6_Kar9'!$V$12:$V$14</c:f>
              <c:numCache>
                <c:formatCode>General</c:formatCode>
                <c:ptCount val="3"/>
                <c:pt idx="0">
                  <c:v>1.6209117224559655</c:v>
                </c:pt>
                <c:pt idx="1">
                  <c:v>1.4575836423669044</c:v>
                </c:pt>
                <c:pt idx="2">
                  <c:v>1.2315296689688382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0-4235-8279-C119B849A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20416"/>
        <c:axId val="465520744"/>
      </c:scatterChart>
      <c:valAx>
        <c:axId val="46552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20744"/>
        <c:crosses val="autoZero"/>
        <c:crossBetween val="midCat"/>
      </c:valAx>
      <c:valAx>
        <c:axId val="46552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2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'240627_triple_12_Cell 6_Kar9'!$H$18:$H$37</c:f>
              <c:numCache>
                <c:formatCode>General</c:formatCode>
                <c:ptCount val="20"/>
                <c:pt idx="0">
                  <c:v>0</c:v>
                </c:pt>
                <c:pt idx="1">
                  <c:v>3.82174515724182</c:v>
                </c:pt>
                <c:pt idx="2">
                  <c:v>7.6434903144836399</c:v>
                </c:pt>
                <c:pt idx="3">
                  <c:v>11.4652354717254</c:v>
                </c:pt>
                <c:pt idx="4">
                  <c:v>15.2869806289672</c:v>
                </c:pt>
                <c:pt idx="5">
                  <c:v>19.108725786209099</c:v>
                </c:pt>
                <c:pt idx="6">
                  <c:v>22.930470943450899</c:v>
                </c:pt>
                <c:pt idx="7">
                  <c:v>26.752216100692699</c:v>
                </c:pt>
                <c:pt idx="8">
                  <c:v>30.573961257934499</c:v>
                </c:pt>
                <c:pt idx="9">
                  <c:v>34.395706415176299</c:v>
                </c:pt>
                <c:pt idx="10">
                  <c:v>38.217451572418199</c:v>
                </c:pt>
                <c:pt idx="11">
                  <c:v>42.039196729659999</c:v>
                </c:pt>
                <c:pt idx="12">
                  <c:v>45.860941886901799</c:v>
                </c:pt>
                <c:pt idx="13">
                  <c:v>49.682687044143599</c:v>
                </c:pt>
                <c:pt idx="14">
                  <c:v>53.504432201385498</c:v>
                </c:pt>
                <c:pt idx="15">
                  <c:v>57.326177358627298</c:v>
                </c:pt>
                <c:pt idx="16">
                  <c:v>61.147922515869098</c:v>
                </c:pt>
                <c:pt idx="17">
                  <c:v>64.969667673110905</c:v>
                </c:pt>
                <c:pt idx="18">
                  <c:v>68.791412830352698</c:v>
                </c:pt>
                <c:pt idx="19">
                  <c:v>72.613157987594604</c:v>
                </c:pt>
              </c:numCache>
            </c:numRef>
          </c:xVal>
          <c:yVal>
            <c:numRef>
              <c:f>'240627_triple_12_Cell 6_Kar9'!$V$18:$V$37</c:f>
              <c:numCache>
                <c:formatCode>General</c:formatCode>
                <c:ptCount val="20"/>
                <c:pt idx="0">
                  <c:v>0.95183005992789971</c:v>
                </c:pt>
                <c:pt idx="1">
                  <c:v>1.5048000602161871</c:v>
                </c:pt>
                <c:pt idx="2">
                  <c:v>1.0794142747495572</c:v>
                </c:pt>
                <c:pt idx="3">
                  <c:v>1.1285939890524428</c:v>
                </c:pt>
                <c:pt idx="4">
                  <c:v>1.1081843644921427</c:v>
                </c:pt>
                <c:pt idx="5">
                  <c:v>1.0813503278695182</c:v>
                </c:pt>
                <c:pt idx="6">
                  <c:v>1.0674311541480375</c:v>
                </c:pt>
                <c:pt idx="7">
                  <c:v>0.69142370878240633</c:v>
                </c:pt>
                <c:pt idx="8">
                  <c:v>0.79987126556182353</c:v>
                </c:pt>
                <c:pt idx="9">
                  <c:v>0.78428483745205813</c:v>
                </c:pt>
                <c:pt idx="10">
                  <c:v>0.88317536921027173</c:v>
                </c:pt>
                <c:pt idx="11">
                  <c:v>0.91241365667217733</c:v>
                </c:pt>
                <c:pt idx="12">
                  <c:v>0.95413314144223482</c:v>
                </c:pt>
                <c:pt idx="13">
                  <c:v>1.0512192933438682</c:v>
                </c:pt>
                <c:pt idx="14">
                  <c:v>1.1757213240075006</c:v>
                </c:pt>
                <c:pt idx="15">
                  <c:v>1.2438934454927988</c:v>
                </c:pt>
                <c:pt idx="16">
                  <c:v>1.3159698946307894</c:v>
                </c:pt>
                <c:pt idx="17">
                  <c:v>1.3453537190211682</c:v>
                </c:pt>
                <c:pt idx="18">
                  <c:v>1.4657493251079226</c:v>
                </c:pt>
                <c:pt idx="19">
                  <c:v>1.5682703685723502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1-40A5-A68A-5F91CC29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518128"/>
        <c:axId val="649952768"/>
      </c:scatterChart>
      <c:valAx>
        <c:axId val="46551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952768"/>
        <c:crosses val="autoZero"/>
        <c:crossBetween val="midCat"/>
      </c:valAx>
      <c:valAx>
        <c:axId val="64995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1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585787</xdr:colOff>
      <xdr:row>2</xdr:row>
      <xdr:rowOff>76200</xdr:rowOff>
    </xdr:from>
    <xdr:to>
      <xdr:col>32</xdr:col>
      <xdr:colOff>280987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776DD-8478-45DF-8FFB-CE36FEAEE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214312</xdr:colOff>
      <xdr:row>17</xdr:row>
      <xdr:rowOff>161925</xdr:rowOff>
    </xdr:from>
    <xdr:to>
      <xdr:col>32</xdr:col>
      <xdr:colOff>519112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3322FD-64F8-419B-B3D6-455A933ED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tabSelected="1" topLeftCell="Q1" workbookViewId="0">
      <selection activeCell="X9" sqref="X9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4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4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40</v>
      </c>
      <c r="K3" t="s">
        <v>30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</row>
    <row r="4" spans="1:24" x14ac:dyDescent="0.25">
      <c r="D4" t="s">
        <v>50</v>
      </c>
      <c r="E4" t="s">
        <v>51</v>
      </c>
      <c r="F4" t="s">
        <v>51</v>
      </c>
      <c r="G4" t="s">
        <v>51</v>
      </c>
      <c r="H4" t="s">
        <v>52</v>
      </c>
      <c r="J4" t="s">
        <v>51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</row>
    <row r="5" spans="1:24" x14ac:dyDescent="0.25">
      <c r="A5" t="s">
        <v>54</v>
      </c>
      <c r="B5">
        <v>1810291</v>
      </c>
      <c r="C5">
        <v>2</v>
      </c>
      <c r="D5">
        <v>11.763710021972599</v>
      </c>
      <c r="E5">
        <v>2.6925262766374001</v>
      </c>
      <c r="F5">
        <v>5.6254397704709103</v>
      </c>
      <c r="G5">
        <v>0.37518774363443602</v>
      </c>
      <c r="H5">
        <v>0</v>
      </c>
      <c r="I5">
        <v>0</v>
      </c>
      <c r="J5">
        <v>0.1</v>
      </c>
      <c r="K5">
        <v>1</v>
      </c>
      <c r="M5">
        <v>85.822784810126507</v>
      </c>
      <c r="N5">
        <v>84</v>
      </c>
      <c r="O5">
        <v>49</v>
      </c>
      <c r="P5">
        <v>120</v>
      </c>
      <c r="Q5">
        <v>6780</v>
      </c>
      <c r="R5">
        <v>18.425010519894599</v>
      </c>
      <c r="S5">
        <v>0.30896138193887401</v>
      </c>
      <c r="T5">
        <v>2.1988834922534899</v>
      </c>
      <c r="V5">
        <f>SQRT((E40-E5)^2+(F40-F5)^2+(G40-G5)^2)</f>
        <v>1.2974436209417437</v>
      </c>
    </row>
    <row r="6" spans="1:24" x14ac:dyDescent="0.25">
      <c r="A6" t="s">
        <v>55</v>
      </c>
      <c r="B6">
        <v>1810270</v>
      </c>
      <c r="C6">
        <v>2</v>
      </c>
      <c r="D6">
        <v>10.790290832519499</v>
      </c>
      <c r="E6">
        <v>2.7030904922821501</v>
      </c>
      <c r="F6">
        <v>5.5912589005718099</v>
      </c>
      <c r="G6">
        <v>0.40718152986856099</v>
      </c>
      <c r="H6">
        <v>3.82174515724182</v>
      </c>
      <c r="I6">
        <v>1</v>
      </c>
      <c r="J6">
        <v>0.1</v>
      </c>
      <c r="K6">
        <v>1</v>
      </c>
      <c r="M6">
        <v>80.556962025316395</v>
      </c>
      <c r="N6">
        <v>79</v>
      </c>
      <c r="O6">
        <v>43</v>
      </c>
      <c r="P6">
        <v>112</v>
      </c>
      <c r="Q6">
        <v>6364</v>
      </c>
      <c r="R6">
        <v>18.5083119480196</v>
      </c>
      <c r="S6">
        <v>0.30499160542208498</v>
      </c>
      <c r="T6">
        <v>2.0344472447454902</v>
      </c>
      <c r="V6">
        <f>SQRT((E41-E6)^2+(F41-F6)^2+(G41-G6)^2)</f>
        <v>1.5529220750595139</v>
      </c>
      <c r="W6">
        <f>SQRT((E6-E5)^2+(F6-F5)^2+(G6-G5)^2)</f>
        <v>4.79951755579964E-2</v>
      </c>
    </row>
    <row r="7" spans="1:24" x14ac:dyDescent="0.25">
      <c r="A7" t="s">
        <v>56</v>
      </c>
      <c r="B7">
        <v>1810298</v>
      </c>
      <c r="C7">
        <v>2</v>
      </c>
      <c r="D7">
        <v>10.225734710693301</v>
      </c>
      <c r="E7">
        <v>2.2148515085190201</v>
      </c>
      <c r="F7">
        <v>5.8776280305063402</v>
      </c>
      <c r="G7">
        <v>0.40493447133184002</v>
      </c>
      <c r="H7">
        <v>7.6434903144836399</v>
      </c>
      <c r="I7">
        <v>2</v>
      </c>
      <c r="J7">
        <v>0.1</v>
      </c>
      <c r="K7">
        <v>1</v>
      </c>
      <c r="M7">
        <v>71.4050632911392</v>
      </c>
      <c r="N7">
        <v>71</v>
      </c>
      <c r="O7">
        <v>36</v>
      </c>
      <c r="P7">
        <v>101</v>
      </c>
      <c r="Q7">
        <v>5641</v>
      </c>
      <c r="R7">
        <v>15.516342903897399</v>
      </c>
      <c r="S7">
        <v>0.32235602539145403</v>
      </c>
      <c r="T7">
        <v>2.2436599165211799</v>
      </c>
      <c r="V7">
        <f>SQRT((E42-E7)^2+(F42-F7)^2+(G42-G7)^2)</f>
        <v>1.5206782316319802</v>
      </c>
      <c r="W7">
        <f t="shared" ref="W5:W18" si="0">SQRT((E7-E6)^2+(F7-F6)^2+(G7-G6)^2)</f>
        <v>0.5660297104548323</v>
      </c>
    </row>
    <row r="8" spans="1:24" x14ac:dyDescent="0.25">
      <c r="A8" t="s">
        <v>57</v>
      </c>
      <c r="B8">
        <v>1810276</v>
      </c>
      <c r="C8">
        <v>2</v>
      </c>
      <c r="D8">
        <v>9.8523254394531197</v>
      </c>
      <c r="E8">
        <v>2.27303805977935</v>
      </c>
      <c r="F8">
        <v>5.9629621257465004</v>
      </c>
      <c r="G8">
        <v>0.399189885364375</v>
      </c>
      <c r="H8">
        <v>11.4652354717254</v>
      </c>
      <c r="I8">
        <v>3</v>
      </c>
      <c r="J8">
        <v>0.1</v>
      </c>
      <c r="K8">
        <v>1</v>
      </c>
      <c r="M8">
        <v>76.873417721518905</v>
      </c>
      <c r="N8">
        <v>78</v>
      </c>
      <c r="O8">
        <v>40</v>
      </c>
      <c r="P8">
        <v>104</v>
      </c>
      <c r="Q8">
        <v>6073</v>
      </c>
      <c r="R8">
        <v>15.8351824199151</v>
      </c>
      <c r="S8">
        <v>0.28896846794529002</v>
      </c>
      <c r="T8">
        <v>2.1766634101173801</v>
      </c>
      <c r="V8">
        <f>SQRT((E43-E8)^2+(F43-F8)^2+(G43-G8)^2)</f>
        <v>1.5386033722172709</v>
      </c>
      <c r="W8">
        <f t="shared" si="0"/>
        <v>0.10344362148516133</v>
      </c>
    </row>
    <row r="9" spans="1:24" x14ac:dyDescent="0.25">
      <c r="A9" t="s">
        <v>58</v>
      </c>
      <c r="B9">
        <v>1810260</v>
      </c>
      <c r="C9">
        <v>2</v>
      </c>
      <c r="D9">
        <v>9.3672790527343697</v>
      </c>
      <c r="E9">
        <v>2.2139151236989401</v>
      </c>
      <c r="F9">
        <v>5.8915659723134004</v>
      </c>
      <c r="G9">
        <v>0.36688254228067402</v>
      </c>
      <c r="H9">
        <v>15.2869806289672</v>
      </c>
      <c r="I9">
        <v>4</v>
      </c>
      <c r="J9">
        <v>0.1</v>
      </c>
      <c r="K9">
        <v>1</v>
      </c>
      <c r="M9">
        <v>72.696202531645497</v>
      </c>
      <c r="N9">
        <v>73</v>
      </c>
      <c r="O9">
        <v>40</v>
      </c>
      <c r="P9">
        <v>99</v>
      </c>
      <c r="Q9">
        <v>5743</v>
      </c>
      <c r="R9">
        <v>14.136109817731599</v>
      </c>
      <c r="S9">
        <v>0.29028594073988501</v>
      </c>
      <c r="T9">
        <v>2.3139386890942601</v>
      </c>
      <c r="V9">
        <f>SQRT((E44-E9)^2+(F44-F9)^2+(G44-G9)^2)</f>
        <v>1.5125577075302019</v>
      </c>
      <c r="W9">
        <f t="shared" si="0"/>
        <v>9.8166678220967446E-2</v>
      </c>
    </row>
    <row r="10" spans="1:24" x14ac:dyDescent="0.25">
      <c r="A10" t="s">
        <v>59</v>
      </c>
      <c r="B10">
        <v>1810265</v>
      </c>
      <c r="C10">
        <v>2</v>
      </c>
      <c r="D10">
        <v>11.2887420654296</v>
      </c>
      <c r="E10">
        <v>2.2796227850232298</v>
      </c>
      <c r="F10">
        <v>5.8054572494230499</v>
      </c>
      <c r="G10">
        <v>0.38427149454260501</v>
      </c>
      <c r="H10">
        <v>19.108725786209099</v>
      </c>
      <c r="I10">
        <v>5</v>
      </c>
      <c r="J10">
        <v>0.1</v>
      </c>
      <c r="K10">
        <v>1</v>
      </c>
      <c r="M10">
        <v>83.443037974683506</v>
      </c>
      <c r="N10">
        <v>82</v>
      </c>
      <c r="O10">
        <v>48</v>
      </c>
      <c r="P10">
        <v>116</v>
      </c>
      <c r="Q10">
        <v>6592</v>
      </c>
      <c r="R10">
        <v>17.741554029180602</v>
      </c>
      <c r="S10">
        <v>0.30460453185591901</v>
      </c>
      <c r="T10">
        <v>2.1962709767598199</v>
      </c>
      <c r="V10">
        <f>SQRT((E45-E10)^2+(F45-F10)^2+(G45-G10)^2)</f>
        <v>1.5778708526525014</v>
      </c>
      <c r="W10">
        <f t="shared" si="0"/>
        <v>0.10970225419417075</v>
      </c>
    </row>
    <row r="11" spans="1:24" x14ac:dyDescent="0.25">
      <c r="A11" t="s">
        <v>60</v>
      </c>
      <c r="B11">
        <v>1810284</v>
      </c>
      <c r="C11">
        <v>2</v>
      </c>
      <c r="D11">
        <v>6.9875030517578098</v>
      </c>
      <c r="E11">
        <v>2.2876782264322402</v>
      </c>
      <c r="F11">
        <v>5.9520180742704296</v>
      </c>
      <c r="G11">
        <v>0.38121003311344698</v>
      </c>
      <c r="H11">
        <v>22.930470943450899</v>
      </c>
      <c r="I11">
        <v>6</v>
      </c>
      <c r="J11">
        <v>0.1</v>
      </c>
      <c r="K11">
        <v>1</v>
      </c>
      <c r="M11">
        <v>50.9873417721519</v>
      </c>
      <c r="N11">
        <v>50</v>
      </c>
      <c r="O11">
        <v>30</v>
      </c>
      <c r="P11">
        <v>71</v>
      </c>
      <c r="Q11">
        <v>4028</v>
      </c>
      <c r="R11">
        <v>10.1014008559946</v>
      </c>
      <c r="S11">
        <v>0.30683518202759102</v>
      </c>
      <c r="T11">
        <v>2.3702551427308798</v>
      </c>
      <c r="V11">
        <f>SQRT((E46-E11)^2+(F46-F11)^2+(G46-G11)^2)</f>
        <v>1.5904953276757818</v>
      </c>
      <c r="W11">
        <f t="shared" si="0"/>
        <v>0.14681395731442071</v>
      </c>
    </row>
    <row r="12" spans="1:24" x14ac:dyDescent="0.25">
      <c r="A12" t="s">
        <v>61</v>
      </c>
      <c r="B12">
        <v>1810281</v>
      </c>
      <c r="C12">
        <v>2</v>
      </c>
      <c r="D12">
        <v>3.7854557037353498</v>
      </c>
      <c r="E12">
        <v>2.4416098723170001</v>
      </c>
      <c r="F12">
        <v>6.0829230729545101</v>
      </c>
      <c r="G12">
        <v>0.366582093985932</v>
      </c>
      <c r="H12">
        <v>26.752216100692699</v>
      </c>
      <c r="I12">
        <v>7</v>
      </c>
      <c r="J12">
        <v>0.1</v>
      </c>
      <c r="K12">
        <v>1</v>
      </c>
      <c r="M12">
        <v>29.329113924050599</v>
      </c>
      <c r="N12">
        <v>30</v>
      </c>
      <c r="O12">
        <v>17</v>
      </c>
      <c r="P12">
        <v>40</v>
      </c>
      <c r="Q12">
        <v>2317</v>
      </c>
      <c r="R12">
        <v>5.5901046249264503</v>
      </c>
      <c r="S12">
        <v>0.28860329473486601</v>
      </c>
      <c r="T12">
        <v>2.3501254697101102</v>
      </c>
      <c r="V12" s="1">
        <f>SQRT((E47-E12)^2+(F47-F12)^2+(G47-G12)^2)</f>
        <v>1.6209117224559655</v>
      </c>
      <c r="W12">
        <f t="shared" si="0"/>
        <v>0.20259577213848398</v>
      </c>
    </row>
    <row r="13" spans="1:24" x14ac:dyDescent="0.25">
      <c r="A13" t="s">
        <v>62</v>
      </c>
      <c r="B13">
        <v>1810321</v>
      </c>
      <c r="C13">
        <v>2</v>
      </c>
      <c r="D13">
        <v>7.3865661621093697</v>
      </c>
      <c r="E13">
        <v>2.4542595289351601</v>
      </c>
      <c r="F13">
        <v>6.27363359341334</v>
      </c>
      <c r="G13">
        <v>0.38919791173813301</v>
      </c>
      <c r="H13">
        <v>30.573961257934499</v>
      </c>
      <c r="I13">
        <v>8</v>
      </c>
      <c r="J13">
        <v>0.1</v>
      </c>
      <c r="K13">
        <v>1</v>
      </c>
      <c r="M13">
        <v>48.9873417721519</v>
      </c>
      <c r="N13">
        <v>50</v>
      </c>
      <c r="O13">
        <v>24</v>
      </c>
      <c r="P13">
        <v>71</v>
      </c>
      <c r="Q13">
        <v>3870</v>
      </c>
      <c r="R13">
        <v>11.839193569736601</v>
      </c>
      <c r="S13">
        <v>0.340464130413343</v>
      </c>
      <c r="T13">
        <v>2.1018799842908198</v>
      </c>
      <c r="V13" s="1">
        <f>SQRT((E48-E13)^2+(F48-F13)^2+(G48-G13)^2)</f>
        <v>1.4575836423669044</v>
      </c>
      <c r="W13">
        <f t="shared" si="0"/>
        <v>0.19246296173247446</v>
      </c>
    </row>
    <row r="14" spans="1:24" x14ac:dyDescent="0.25">
      <c r="A14" t="s">
        <v>63</v>
      </c>
      <c r="B14">
        <v>1810304</v>
      </c>
      <c r="C14">
        <v>2</v>
      </c>
      <c r="D14">
        <v>3.6709232330322199</v>
      </c>
      <c r="E14">
        <v>2.4288326664554498</v>
      </c>
      <c r="F14">
        <v>6.2837469020074899</v>
      </c>
      <c r="G14">
        <v>0.48585774587464198</v>
      </c>
      <c r="H14">
        <v>34.395706415176299</v>
      </c>
      <c r="I14">
        <v>9</v>
      </c>
      <c r="J14">
        <v>0.1</v>
      </c>
      <c r="K14">
        <v>1</v>
      </c>
      <c r="M14">
        <v>26.2025316455696</v>
      </c>
      <c r="N14">
        <v>27</v>
      </c>
      <c r="O14">
        <v>13</v>
      </c>
      <c r="P14">
        <v>37</v>
      </c>
      <c r="Q14">
        <v>2070</v>
      </c>
      <c r="R14">
        <v>6.0370219921946697</v>
      </c>
      <c r="S14">
        <v>0.31690209914406597</v>
      </c>
      <c r="T14">
        <v>2.08892149063026</v>
      </c>
      <c r="V14" s="1">
        <f>SQRT((E49-E14)^2+(F49-F14)^2+(G49-G14)^2)</f>
        <v>1.2315296689688382</v>
      </c>
      <c r="W14">
        <f t="shared" si="0"/>
        <v>0.10045858789361926</v>
      </c>
      <c r="X14">
        <f>H14-H12</f>
        <v>7.6434903144835999</v>
      </c>
    </row>
    <row r="15" spans="1:24" x14ac:dyDescent="0.25">
      <c r="A15" t="s">
        <v>64</v>
      </c>
      <c r="B15">
        <v>1810314</v>
      </c>
      <c r="C15">
        <v>2</v>
      </c>
      <c r="D15">
        <v>3.8597106933593701</v>
      </c>
      <c r="E15">
        <v>2.6635000669789299</v>
      </c>
      <c r="F15">
        <v>5.9764890093685699</v>
      </c>
      <c r="G15">
        <v>0.281134319734333</v>
      </c>
      <c r="H15">
        <v>38.217451572418199</v>
      </c>
      <c r="I15">
        <v>10</v>
      </c>
      <c r="J15">
        <v>0.1</v>
      </c>
      <c r="K15">
        <v>1</v>
      </c>
      <c r="M15">
        <v>26.265822784810101</v>
      </c>
      <c r="N15">
        <v>26</v>
      </c>
      <c r="O15">
        <v>16</v>
      </c>
      <c r="P15">
        <v>38</v>
      </c>
      <c r="Q15">
        <v>2075</v>
      </c>
      <c r="R15">
        <v>5.88502850734766</v>
      </c>
      <c r="S15">
        <v>0.32844872045668699</v>
      </c>
      <c r="T15">
        <v>2.2069638219791599</v>
      </c>
      <c r="V15">
        <f>SQRT((E50-E15)^2+(F50-F15)^2+(G50-G15)^2)</f>
        <v>1.2926499809197391</v>
      </c>
      <c r="W15">
        <f t="shared" si="0"/>
        <v>0.43747900825980679</v>
      </c>
    </row>
    <row r="17" spans="1:23" x14ac:dyDescent="0.25">
      <c r="A17" t="s">
        <v>65</v>
      </c>
      <c r="B17">
        <v>1810310</v>
      </c>
      <c r="C17">
        <v>2</v>
      </c>
      <c r="D17">
        <v>9.7318229675292898</v>
      </c>
      <c r="E17">
        <v>2.03736291892774</v>
      </c>
      <c r="F17">
        <v>5.9547648021847603</v>
      </c>
      <c r="G17">
        <v>0.69793056955565702</v>
      </c>
      <c r="H17">
        <v>45.860941886901799</v>
      </c>
      <c r="I17">
        <v>12</v>
      </c>
      <c r="J17">
        <v>0.1</v>
      </c>
      <c r="K17">
        <v>1</v>
      </c>
      <c r="M17">
        <v>69.759493670886002</v>
      </c>
      <c r="N17">
        <v>70</v>
      </c>
      <c r="O17">
        <v>36</v>
      </c>
      <c r="P17">
        <v>98</v>
      </c>
      <c r="Q17">
        <v>5511</v>
      </c>
      <c r="R17">
        <v>14.6403159468091</v>
      </c>
      <c r="S17">
        <v>0.30824882682201499</v>
      </c>
      <c r="T17">
        <v>2.2454011702486198</v>
      </c>
      <c r="V17">
        <f>SQRT((E52-E17)^2+(F52-F17)^2+(G52-G17)^2)</f>
        <v>0.91462438452579264</v>
      </c>
    </row>
    <row r="18" spans="1:23" x14ac:dyDescent="0.25">
      <c r="A18" t="s">
        <v>66</v>
      </c>
      <c r="B18">
        <v>1810295</v>
      </c>
      <c r="C18">
        <v>3</v>
      </c>
      <c r="D18">
        <v>13.0082397460937</v>
      </c>
      <c r="E18">
        <v>1.9362647986911301</v>
      </c>
      <c r="F18">
        <v>5.3097938753400298</v>
      </c>
      <c r="G18">
        <v>2.0136624532137199</v>
      </c>
      <c r="H18">
        <v>0</v>
      </c>
      <c r="I18">
        <v>0</v>
      </c>
      <c r="J18">
        <v>0.1</v>
      </c>
      <c r="K18">
        <v>1</v>
      </c>
      <c r="M18">
        <v>91.911392405063296</v>
      </c>
      <c r="N18">
        <v>95</v>
      </c>
      <c r="O18">
        <v>45</v>
      </c>
      <c r="P18">
        <v>130</v>
      </c>
      <c r="Q18">
        <v>7261</v>
      </c>
      <c r="R18">
        <v>21.326034332337599</v>
      </c>
      <c r="S18">
        <v>0.32090598153684702</v>
      </c>
      <c r="T18">
        <v>2.09408903368253</v>
      </c>
      <c r="V18">
        <f>SQRT((E40-E18)^2+(F40-F18)^2+(G40-G18)^2)</f>
        <v>0.95183005992789971</v>
      </c>
      <c r="W18">
        <f t="shared" si="0"/>
        <v>1.468794987758578</v>
      </c>
    </row>
    <row r="19" spans="1:23" x14ac:dyDescent="0.25">
      <c r="A19" t="s">
        <v>67</v>
      </c>
      <c r="B19">
        <v>1810271</v>
      </c>
      <c r="C19">
        <v>3</v>
      </c>
      <c r="D19">
        <v>16.048393249511701</v>
      </c>
      <c r="E19">
        <v>1.84616727005026</v>
      </c>
      <c r="F19">
        <v>5.3309586787690604</v>
      </c>
      <c r="G19">
        <v>1.50247352359387</v>
      </c>
      <c r="H19">
        <v>3.82174515724182</v>
      </c>
      <c r="I19">
        <v>1</v>
      </c>
      <c r="J19">
        <v>0.1</v>
      </c>
      <c r="K19">
        <v>1</v>
      </c>
      <c r="M19">
        <v>99.696202531645497</v>
      </c>
      <c r="N19">
        <v>97</v>
      </c>
      <c r="O19">
        <v>56</v>
      </c>
      <c r="P19">
        <v>148</v>
      </c>
      <c r="Q19">
        <v>7876</v>
      </c>
      <c r="R19">
        <v>23.780704541103798</v>
      </c>
      <c r="S19">
        <v>0.36335048324277502</v>
      </c>
      <c r="T19">
        <v>2.2346119680448799</v>
      </c>
      <c r="V19">
        <f t="shared" ref="V19:W37" si="1">SQRT((E41-E19)^2+(F41-F19)^2+(G41-G19)^2)</f>
        <v>1.5048000602161871</v>
      </c>
      <c r="W19">
        <f>SQRT((E19-E18)^2+(F19-F18)^2+(G19-G18)^2)</f>
        <v>0.51949940840897002</v>
      </c>
    </row>
    <row r="20" spans="1:23" x14ac:dyDescent="0.25">
      <c r="A20" t="s">
        <v>68</v>
      </c>
      <c r="B20">
        <v>1810301</v>
      </c>
      <c r="C20">
        <v>3</v>
      </c>
      <c r="D20">
        <v>11.546684265136699</v>
      </c>
      <c r="E20">
        <v>1.7735572683438099</v>
      </c>
      <c r="F20">
        <v>5.0093470301393799</v>
      </c>
      <c r="G20">
        <v>1.89048122779226</v>
      </c>
      <c r="H20">
        <v>7.6434903144836399</v>
      </c>
      <c r="I20">
        <v>2</v>
      </c>
      <c r="J20">
        <v>0.1</v>
      </c>
      <c r="K20">
        <v>1</v>
      </c>
      <c r="M20">
        <v>72.772151898734094</v>
      </c>
      <c r="N20">
        <v>71</v>
      </c>
      <c r="O20">
        <v>36</v>
      </c>
      <c r="P20">
        <v>108</v>
      </c>
      <c r="Q20">
        <v>5749</v>
      </c>
      <c r="R20">
        <v>17.454666092105199</v>
      </c>
      <c r="S20">
        <v>0.354706509384283</v>
      </c>
      <c r="T20">
        <v>2.1832708118708499</v>
      </c>
      <c r="V20">
        <f t="shared" si="1"/>
        <v>1.0794142747495572</v>
      </c>
      <c r="W20">
        <f t="shared" ref="W20:W37" si="2">SQRT((E20-E19)^2+(F20-F19)^2+(G20-G19)^2)</f>
        <v>0.50917211569312892</v>
      </c>
    </row>
    <row r="21" spans="1:23" x14ac:dyDescent="0.25">
      <c r="A21" t="s">
        <v>69</v>
      </c>
      <c r="B21">
        <v>1810278</v>
      </c>
      <c r="C21">
        <v>3</v>
      </c>
      <c r="D21">
        <v>10.6496429443359</v>
      </c>
      <c r="E21">
        <v>1.47091826138722</v>
      </c>
      <c r="F21">
        <v>5.3988908552047796</v>
      </c>
      <c r="G21">
        <v>1.87268311859155</v>
      </c>
      <c r="H21">
        <v>11.4652354717254</v>
      </c>
      <c r="I21">
        <v>3</v>
      </c>
      <c r="J21">
        <v>0.1</v>
      </c>
      <c r="K21">
        <v>1</v>
      </c>
      <c r="M21">
        <v>71.430379746835399</v>
      </c>
      <c r="N21">
        <v>73</v>
      </c>
      <c r="O21">
        <v>34</v>
      </c>
      <c r="P21">
        <v>103</v>
      </c>
      <c r="Q21">
        <v>5643</v>
      </c>
      <c r="R21">
        <v>17.186520914251201</v>
      </c>
      <c r="S21">
        <v>0.33563491278181901</v>
      </c>
      <c r="T21">
        <v>2.0888360343780401</v>
      </c>
      <c r="V21">
        <f t="shared" si="1"/>
        <v>1.1285939890524428</v>
      </c>
      <c r="W21">
        <f t="shared" si="2"/>
        <v>0.49361070984063343</v>
      </c>
    </row>
    <row r="22" spans="1:23" x14ac:dyDescent="0.25">
      <c r="A22" t="s">
        <v>70</v>
      </c>
      <c r="B22">
        <v>1810262</v>
      </c>
      <c r="C22">
        <v>3</v>
      </c>
      <c r="D22">
        <v>13.2322692871093</v>
      </c>
      <c r="E22">
        <v>1.3797410959237799</v>
      </c>
      <c r="F22">
        <v>5.6967228767141798</v>
      </c>
      <c r="G22">
        <v>1.9680077602193</v>
      </c>
      <c r="H22">
        <v>15.2869806289672</v>
      </c>
      <c r="I22">
        <v>4</v>
      </c>
      <c r="J22">
        <v>0.1</v>
      </c>
      <c r="K22">
        <v>1</v>
      </c>
      <c r="M22">
        <v>93.227848101265806</v>
      </c>
      <c r="N22">
        <v>91</v>
      </c>
      <c r="O22">
        <v>58</v>
      </c>
      <c r="P22">
        <v>132</v>
      </c>
      <c r="Q22">
        <v>7365</v>
      </c>
      <c r="R22">
        <v>19.2440129664671</v>
      </c>
      <c r="S22">
        <v>0.31933913618964499</v>
      </c>
      <c r="T22">
        <v>2.34517748235174</v>
      </c>
      <c r="V22">
        <f t="shared" si="1"/>
        <v>1.1081843644921427</v>
      </c>
      <c r="W22">
        <f t="shared" si="2"/>
        <v>0.32573605241020265</v>
      </c>
    </row>
    <row r="23" spans="1:23" x14ac:dyDescent="0.25">
      <c r="A23" t="s">
        <v>71</v>
      </c>
      <c r="B23">
        <v>1810269</v>
      </c>
      <c r="C23">
        <v>3</v>
      </c>
      <c r="D23">
        <v>10.5514869689941</v>
      </c>
      <c r="E23">
        <v>1.3361516877844799</v>
      </c>
      <c r="F23">
        <v>5.9007907352774103</v>
      </c>
      <c r="G23">
        <v>1.87330328497468</v>
      </c>
      <c r="H23">
        <v>19.108725786209099</v>
      </c>
      <c r="I23">
        <v>5</v>
      </c>
      <c r="J23">
        <v>0.1</v>
      </c>
      <c r="K23">
        <v>1</v>
      </c>
      <c r="M23">
        <v>74.759493670886002</v>
      </c>
      <c r="N23">
        <v>75</v>
      </c>
      <c r="O23">
        <v>39</v>
      </c>
      <c r="P23">
        <v>105</v>
      </c>
      <c r="Q23">
        <v>5906</v>
      </c>
      <c r="R23">
        <v>16.818194657430201</v>
      </c>
      <c r="S23">
        <v>0.31325266228660398</v>
      </c>
      <c r="T23">
        <v>2.1206229296843602</v>
      </c>
      <c r="V23">
        <f t="shared" si="1"/>
        <v>1.0813503278695182</v>
      </c>
      <c r="W23">
        <f t="shared" si="2"/>
        <v>0.22915642044654994</v>
      </c>
    </row>
    <row r="24" spans="1:23" x14ac:dyDescent="0.25">
      <c r="A24" t="s">
        <v>72</v>
      </c>
      <c r="B24">
        <v>1810287</v>
      </c>
      <c r="C24">
        <v>3</v>
      </c>
      <c r="D24">
        <v>11.7652130126953</v>
      </c>
      <c r="E24">
        <v>1.3549279694501399</v>
      </c>
      <c r="F24">
        <v>5.9715101196026801</v>
      </c>
      <c r="G24">
        <v>1.49956425009413</v>
      </c>
      <c r="H24">
        <v>22.930470943450899</v>
      </c>
      <c r="I24">
        <v>6</v>
      </c>
      <c r="J24">
        <v>0.1</v>
      </c>
      <c r="K24">
        <v>1</v>
      </c>
      <c r="M24">
        <v>77.4050632911392</v>
      </c>
      <c r="N24">
        <v>77</v>
      </c>
      <c r="O24">
        <v>42</v>
      </c>
      <c r="P24">
        <v>111</v>
      </c>
      <c r="Q24">
        <v>6115</v>
      </c>
      <c r="R24">
        <v>17.393278238461999</v>
      </c>
      <c r="S24">
        <v>0.34151461838985298</v>
      </c>
      <c r="T24">
        <v>2.2658534122420502</v>
      </c>
      <c r="V24">
        <f t="shared" si="1"/>
        <v>1.0674311541480375</v>
      </c>
      <c r="W24">
        <f t="shared" si="2"/>
        <v>0.38083414535198706</v>
      </c>
    </row>
    <row r="25" spans="1:23" x14ac:dyDescent="0.25">
      <c r="A25" t="s">
        <v>73</v>
      </c>
      <c r="B25">
        <v>1810282</v>
      </c>
      <c r="C25">
        <v>3</v>
      </c>
      <c r="D25">
        <v>11.542472839355399</v>
      </c>
      <c r="E25">
        <v>1.46519470143943</v>
      </c>
      <c r="F25">
        <v>5.5956147269053398</v>
      </c>
      <c r="G25">
        <v>1.4082577235615501</v>
      </c>
      <c r="H25">
        <v>26.752216100692699</v>
      </c>
      <c r="I25">
        <v>7</v>
      </c>
      <c r="J25">
        <v>0.1</v>
      </c>
      <c r="K25">
        <v>1</v>
      </c>
      <c r="M25">
        <v>83.949367088607602</v>
      </c>
      <c r="N25">
        <v>85</v>
      </c>
      <c r="O25">
        <v>43</v>
      </c>
      <c r="P25">
        <v>116</v>
      </c>
      <c r="Q25">
        <v>6632</v>
      </c>
      <c r="R25">
        <v>17.055639517117999</v>
      </c>
      <c r="S25">
        <v>0.31000959659723998</v>
      </c>
      <c r="T25">
        <v>2.32959311681411</v>
      </c>
      <c r="V25">
        <f t="shared" si="1"/>
        <v>0.69142370878240633</v>
      </c>
      <c r="W25">
        <f t="shared" si="2"/>
        <v>0.40223498135061586</v>
      </c>
    </row>
    <row r="26" spans="1:23" x14ac:dyDescent="0.25">
      <c r="A26" t="s">
        <v>74</v>
      </c>
      <c r="B26">
        <v>1810324</v>
      </c>
      <c r="C26">
        <v>3</v>
      </c>
      <c r="D26">
        <v>17.823867797851499</v>
      </c>
      <c r="E26">
        <v>1.4991653812192001</v>
      </c>
      <c r="F26">
        <v>5.5080044833944104</v>
      </c>
      <c r="G26">
        <v>1.7803383314462</v>
      </c>
      <c r="H26">
        <v>30.573961257934499</v>
      </c>
      <c r="I26">
        <v>8</v>
      </c>
      <c r="J26">
        <v>0.1</v>
      </c>
      <c r="K26">
        <v>1</v>
      </c>
      <c r="M26">
        <v>115.341772151898</v>
      </c>
      <c r="N26">
        <v>112</v>
      </c>
      <c r="O26">
        <v>71</v>
      </c>
      <c r="P26">
        <v>170</v>
      </c>
      <c r="Q26">
        <v>9112</v>
      </c>
      <c r="R26">
        <v>25.501073922056399</v>
      </c>
      <c r="S26">
        <v>0.346510333458667</v>
      </c>
      <c r="T26">
        <v>2.32790174074887</v>
      </c>
      <c r="V26">
        <f t="shared" si="1"/>
        <v>0.79987126556182353</v>
      </c>
      <c r="W26">
        <f t="shared" si="2"/>
        <v>0.38376234913883178</v>
      </c>
    </row>
    <row r="27" spans="1:23" x14ac:dyDescent="0.25">
      <c r="A27" t="s">
        <v>75</v>
      </c>
      <c r="B27">
        <v>1810306</v>
      </c>
      <c r="C27">
        <v>3</v>
      </c>
      <c r="D27">
        <v>12.0781478881835</v>
      </c>
      <c r="E27">
        <v>1.5046004632254599</v>
      </c>
      <c r="F27">
        <v>5.4434685083933099</v>
      </c>
      <c r="G27">
        <v>1.5625676074703101</v>
      </c>
      <c r="H27">
        <v>34.395706415176299</v>
      </c>
      <c r="I27">
        <v>9</v>
      </c>
      <c r="J27">
        <v>0.1</v>
      </c>
      <c r="K27">
        <v>1</v>
      </c>
      <c r="M27">
        <v>77.949367088607602</v>
      </c>
      <c r="N27">
        <v>77</v>
      </c>
      <c r="O27">
        <v>43</v>
      </c>
      <c r="P27">
        <v>114</v>
      </c>
      <c r="Q27">
        <v>6158</v>
      </c>
      <c r="R27">
        <v>17.8770005042844</v>
      </c>
      <c r="S27">
        <v>0.344477065933886</v>
      </c>
      <c r="T27">
        <v>2.2343687646861699</v>
      </c>
      <c r="V27">
        <f t="shared" si="1"/>
        <v>0.78428483745205813</v>
      </c>
      <c r="W27">
        <f t="shared" si="2"/>
        <v>0.22719709594697879</v>
      </c>
    </row>
    <row r="28" spans="1:23" x14ac:dyDescent="0.25">
      <c r="A28" t="s">
        <v>76</v>
      </c>
      <c r="B28">
        <v>1810316</v>
      </c>
      <c r="C28">
        <v>3</v>
      </c>
      <c r="D28">
        <v>11.6773529052734</v>
      </c>
      <c r="E28">
        <v>1.8462718927870301</v>
      </c>
      <c r="F28">
        <v>6.3515802936488797</v>
      </c>
      <c r="G28">
        <v>1.00760108193762</v>
      </c>
      <c r="H28">
        <v>38.217451572418199</v>
      </c>
      <c r="I28">
        <v>10</v>
      </c>
      <c r="J28">
        <v>0.1</v>
      </c>
      <c r="K28">
        <v>1</v>
      </c>
      <c r="M28">
        <v>76.329113924050603</v>
      </c>
      <c r="N28">
        <v>74</v>
      </c>
      <c r="O28">
        <v>46</v>
      </c>
      <c r="P28">
        <v>111</v>
      </c>
      <c r="Q28">
        <v>6030</v>
      </c>
      <c r="R28">
        <v>16.968841369107398</v>
      </c>
      <c r="S28">
        <v>0.34499057924186499</v>
      </c>
      <c r="T28">
        <v>2.30757603598766</v>
      </c>
      <c r="V28">
        <f t="shared" si="1"/>
        <v>0.88317536921027173</v>
      </c>
      <c r="W28">
        <f t="shared" si="2"/>
        <v>1.1177630449968057</v>
      </c>
    </row>
    <row r="29" spans="1:23" x14ac:dyDescent="0.25">
      <c r="A29" t="s">
        <v>77</v>
      </c>
      <c r="B29">
        <v>1810327</v>
      </c>
      <c r="C29">
        <v>3</v>
      </c>
      <c r="D29">
        <v>10.319953918456999</v>
      </c>
      <c r="E29">
        <v>1.58527976437763</v>
      </c>
      <c r="F29">
        <v>5.9600366663371904</v>
      </c>
      <c r="G29">
        <v>1.3993151763133</v>
      </c>
      <c r="H29">
        <v>42.039196729659999</v>
      </c>
      <c r="I29">
        <v>11</v>
      </c>
      <c r="J29">
        <v>0.1</v>
      </c>
      <c r="K29">
        <v>1</v>
      </c>
      <c r="M29">
        <v>70.392405063291093</v>
      </c>
      <c r="N29">
        <v>70</v>
      </c>
      <c r="O29">
        <v>38</v>
      </c>
      <c r="P29">
        <v>100</v>
      </c>
      <c r="Q29">
        <v>5561</v>
      </c>
      <c r="R29">
        <v>16.483416469302899</v>
      </c>
      <c r="S29">
        <v>0.32929887711176398</v>
      </c>
      <c r="T29">
        <v>2.1158076337859599</v>
      </c>
      <c r="V29">
        <f t="shared" si="1"/>
        <v>0.91241365667217733</v>
      </c>
      <c r="W29">
        <f t="shared" si="2"/>
        <v>0.6122607572861607</v>
      </c>
    </row>
    <row r="30" spans="1:23" x14ac:dyDescent="0.25">
      <c r="A30" t="s">
        <v>78</v>
      </c>
      <c r="B30">
        <v>1810312</v>
      </c>
      <c r="C30">
        <v>3</v>
      </c>
      <c r="D30">
        <v>1.46094989776611</v>
      </c>
      <c r="E30">
        <v>1.8787497170823899</v>
      </c>
      <c r="F30">
        <v>6.1788246923066303</v>
      </c>
      <c r="G30">
        <v>1.23783262404237</v>
      </c>
      <c r="H30">
        <v>45.860941886901799</v>
      </c>
      <c r="I30">
        <v>12</v>
      </c>
      <c r="J30">
        <v>0.1</v>
      </c>
      <c r="K30">
        <v>1</v>
      </c>
      <c r="M30">
        <v>13.0379746835443</v>
      </c>
      <c r="N30">
        <v>13</v>
      </c>
      <c r="O30">
        <v>6</v>
      </c>
      <c r="P30">
        <v>20</v>
      </c>
      <c r="Q30">
        <v>1030</v>
      </c>
      <c r="R30">
        <v>3.0569091058456599</v>
      </c>
      <c r="S30">
        <v>0.23021185323054999</v>
      </c>
      <c r="T30">
        <v>1.59626641854667</v>
      </c>
      <c r="V30">
        <f t="shared" si="1"/>
        <v>0.95413314144223482</v>
      </c>
      <c r="W30">
        <f t="shared" si="2"/>
        <v>0.40008677575754986</v>
      </c>
    </row>
    <row r="31" spans="1:23" x14ac:dyDescent="0.25">
      <c r="A31" t="s">
        <v>79</v>
      </c>
      <c r="B31">
        <v>1810319</v>
      </c>
      <c r="C31">
        <v>3</v>
      </c>
      <c r="D31">
        <v>16.776832580566399</v>
      </c>
      <c r="E31">
        <v>1.8313801878614899</v>
      </c>
      <c r="F31">
        <v>6.1753252639491603</v>
      </c>
      <c r="G31">
        <v>1.0973080195723</v>
      </c>
      <c r="H31">
        <v>49.682687044143599</v>
      </c>
      <c r="I31">
        <v>13</v>
      </c>
      <c r="J31">
        <v>0.1</v>
      </c>
      <c r="K31">
        <v>1</v>
      </c>
      <c r="M31">
        <v>113.86075949367</v>
      </c>
      <c r="N31">
        <v>114</v>
      </c>
      <c r="O31">
        <v>55</v>
      </c>
      <c r="P31">
        <v>164</v>
      </c>
      <c r="Q31">
        <v>8995</v>
      </c>
      <c r="R31">
        <v>28.070302848025602</v>
      </c>
      <c r="S31">
        <v>0.33129663284568001</v>
      </c>
      <c r="T31">
        <v>2.0188272685839599</v>
      </c>
      <c r="V31">
        <f t="shared" si="1"/>
        <v>1.0512192933438682</v>
      </c>
      <c r="W31">
        <f t="shared" si="2"/>
        <v>0.14833503550715321</v>
      </c>
    </row>
    <row r="32" spans="1:23" x14ac:dyDescent="0.25">
      <c r="A32" t="s">
        <v>80</v>
      </c>
      <c r="B32">
        <v>1810331</v>
      </c>
      <c r="C32">
        <v>3</v>
      </c>
      <c r="D32">
        <v>16.586647033691399</v>
      </c>
      <c r="E32">
        <v>1.7386540940797</v>
      </c>
      <c r="F32">
        <v>6.4090625403224104</v>
      </c>
      <c r="G32">
        <v>1.10112850981479</v>
      </c>
      <c r="H32">
        <v>53.504432201385498</v>
      </c>
      <c r="I32">
        <v>14</v>
      </c>
      <c r="J32">
        <v>0.1</v>
      </c>
      <c r="K32">
        <v>1</v>
      </c>
      <c r="M32">
        <v>110.73417721518901</v>
      </c>
      <c r="N32">
        <v>110</v>
      </c>
      <c r="O32">
        <v>55</v>
      </c>
      <c r="P32">
        <v>160</v>
      </c>
      <c r="Q32">
        <v>8748</v>
      </c>
      <c r="R32">
        <v>26.323777328491101</v>
      </c>
      <c r="S32">
        <v>0.33675706271524303</v>
      </c>
      <c r="T32">
        <v>2.1194720595108798</v>
      </c>
      <c r="V32">
        <f t="shared" si="1"/>
        <v>1.1757213240075006</v>
      </c>
      <c r="W32">
        <f t="shared" si="2"/>
        <v>0.25148725411063561</v>
      </c>
    </row>
    <row r="33" spans="1:23" x14ac:dyDescent="0.25">
      <c r="A33" t="s">
        <v>81</v>
      </c>
      <c r="B33">
        <v>1810335</v>
      </c>
      <c r="C33">
        <v>3</v>
      </c>
      <c r="D33">
        <v>9.9876327514648402</v>
      </c>
      <c r="E33">
        <v>1.55590266188594</v>
      </c>
      <c r="F33">
        <v>6.3327189009870102</v>
      </c>
      <c r="G33">
        <v>1.34546978523182</v>
      </c>
      <c r="H33">
        <v>57.326177358627298</v>
      </c>
      <c r="I33">
        <v>15</v>
      </c>
      <c r="J33">
        <v>0.1</v>
      </c>
      <c r="K33">
        <v>1</v>
      </c>
      <c r="M33">
        <v>76.101265822784796</v>
      </c>
      <c r="N33">
        <v>76</v>
      </c>
      <c r="O33">
        <v>45</v>
      </c>
      <c r="P33">
        <v>104</v>
      </c>
      <c r="Q33">
        <v>6012</v>
      </c>
      <c r="R33">
        <v>15.146798711201701</v>
      </c>
      <c r="S33">
        <v>0.29529611902514002</v>
      </c>
      <c r="T33">
        <v>2.2908133069297199</v>
      </c>
      <c r="V33">
        <f t="shared" si="1"/>
        <v>1.2438934454927988</v>
      </c>
      <c r="W33">
        <f t="shared" si="2"/>
        <v>0.31452996058923388</v>
      </c>
    </row>
    <row r="34" spans="1:23" x14ac:dyDescent="0.25">
      <c r="A34" t="s">
        <v>82</v>
      </c>
      <c r="B34">
        <v>1810341</v>
      </c>
      <c r="C34">
        <v>3</v>
      </c>
      <c r="D34">
        <v>14.298194885253899</v>
      </c>
      <c r="E34">
        <v>1.5328278405531901</v>
      </c>
      <c r="F34">
        <v>5.8004827191133401</v>
      </c>
      <c r="G34">
        <v>1.6767084836770101</v>
      </c>
      <c r="H34">
        <v>61.147922515869098</v>
      </c>
      <c r="I34">
        <v>16</v>
      </c>
      <c r="J34">
        <v>0.1</v>
      </c>
      <c r="K34">
        <v>1</v>
      </c>
      <c r="M34">
        <v>96.835443037974599</v>
      </c>
      <c r="N34">
        <v>97</v>
      </c>
      <c r="O34">
        <v>48</v>
      </c>
      <c r="P34">
        <v>138</v>
      </c>
      <c r="Q34">
        <v>7650</v>
      </c>
      <c r="R34">
        <v>21.066701383296699</v>
      </c>
      <c r="S34">
        <v>0.33112831975500201</v>
      </c>
      <c r="T34">
        <v>2.28688435024003</v>
      </c>
      <c r="V34">
        <f t="shared" si="1"/>
        <v>1.3159698946307894</v>
      </c>
      <c r="W34">
        <f t="shared" si="2"/>
        <v>0.62731720526593582</v>
      </c>
    </row>
    <row r="35" spans="1:23" x14ac:dyDescent="0.25">
      <c r="A35" t="s">
        <v>83</v>
      </c>
      <c r="B35">
        <v>1810338</v>
      </c>
      <c r="C35">
        <v>3</v>
      </c>
      <c r="D35">
        <v>12.6939163208007</v>
      </c>
      <c r="E35">
        <v>1.5189827645040199</v>
      </c>
      <c r="F35">
        <v>5.8645137068587596</v>
      </c>
      <c r="G35">
        <v>1.4948544625893401</v>
      </c>
      <c r="H35">
        <v>64.969667673110905</v>
      </c>
      <c r="I35">
        <v>17</v>
      </c>
      <c r="J35">
        <v>0.1</v>
      </c>
      <c r="K35">
        <v>1</v>
      </c>
      <c r="M35">
        <v>91.265822784810098</v>
      </c>
      <c r="N35">
        <v>92</v>
      </c>
      <c r="O35">
        <v>48</v>
      </c>
      <c r="P35">
        <v>126</v>
      </c>
      <c r="Q35">
        <v>7210</v>
      </c>
      <c r="R35">
        <v>18.866405403255399</v>
      </c>
      <c r="S35">
        <v>0.30936496606274899</v>
      </c>
      <c r="T35">
        <v>2.2859115435142399</v>
      </c>
      <c r="V35">
        <f t="shared" si="1"/>
        <v>1.3453537190211682</v>
      </c>
      <c r="W35">
        <f t="shared" si="2"/>
        <v>0.1932939174113249</v>
      </c>
    </row>
    <row r="36" spans="1:23" x14ac:dyDescent="0.25">
      <c r="A36" t="s">
        <v>84</v>
      </c>
      <c r="B36">
        <v>1810347</v>
      </c>
      <c r="C36">
        <v>3</v>
      </c>
      <c r="D36">
        <v>13.6316375732421</v>
      </c>
      <c r="E36">
        <v>1.46346800078484</v>
      </c>
      <c r="F36">
        <v>5.7691776709190297</v>
      </c>
      <c r="G36">
        <v>1.6253864214149101</v>
      </c>
      <c r="H36">
        <v>68.791412830352698</v>
      </c>
      <c r="I36">
        <v>18</v>
      </c>
      <c r="J36">
        <v>0.1</v>
      </c>
      <c r="K36">
        <v>1</v>
      </c>
      <c r="M36">
        <v>100.30379746835401</v>
      </c>
      <c r="N36">
        <v>101</v>
      </c>
      <c r="O36">
        <v>51</v>
      </c>
      <c r="P36">
        <v>138</v>
      </c>
      <c r="Q36">
        <v>7924</v>
      </c>
      <c r="R36">
        <v>20.733568984384899</v>
      </c>
      <c r="S36">
        <v>0.30287309953713099</v>
      </c>
      <c r="T36">
        <v>2.2492197585004101</v>
      </c>
      <c r="V36">
        <f t="shared" si="1"/>
        <v>1.4657493251079226</v>
      </c>
      <c r="W36">
        <f t="shared" si="2"/>
        <v>0.17090769735251296</v>
      </c>
    </row>
    <row r="37" spans="1:23" x14ac:dyDescent="0.25">
      <c r="A37" t="s">
        <v>85</v>
      </c>
      <c r="B37">
        <v>1810345</v>
      </c>
      <c r="C37">
        <v>3</v>
      </c>
      <c r="D37">
        <v>6.3940849304199201</v>
      </c>
      <c r="E37">
        <v>1.4169152774820799</v>
      </c>
      <c r="F37">
        <v>5.79853387487403</v>
      </c>
      <c r="G37">
        <v>1.72464157226827</v>
      </c>
      <c r="H37">
        <v>72.613157987594604</v>
      </c>
      <c r="I37">
        <v>19</v>
      </c>
      <c r="J37">
        <v>0.1</v>
      </c>
      <c r="K37">
        <v>1</v>
      </c>
      <c r="M37">
        <v>51.518987341772103</v>
      </c>
      <c r="N37">
        <v>51</v>
      </c>
      <c r="O37">
        <v>26</v>
      </c>
      <c r="P37">
        <v>69</v>
      </c>
      <c r="Q37">
        <v>4070</v>
      </c>
      <c r="R37">
        <v>10.8979658881755</v>
      </c>
      <c r="S37">
        <v>0.26786340095790601</v>
      </c>
      <c r="T37">
        <v>1.9975275721308501</v>
      </c>
      <c r="V37">
        <f t="shared" si="1"/>
        <v>1.5682703685723502</v>
      </c>
      <c r="W37">
        <f t="shared" si="2"/>
        <v>0.11349241264716399</v>
      </c>
    </row>
    <row r="40" spans="1:23" x14ac:dyDescent="0.25">
      <c r="E40">
        <v>2.7762018920602598</v>
      </c>
      <c r="F40">
        <v>5.1715739947814896</v>
      </c>
      <c r="G40">
        <v>1.5877734925874201</v>
      </c>
      <c r="H40">
        <v>0</v>
      </c>
      <c r="I40">
        <v>0</v>
      </c>
    </row>
    <row r="41" spans="1:23" x14ac:dyDescent="0.25">
      <c r="E41">
        <v>3.3133959662060799</v>
      </c>
      <c r="F41">
        <v>5.1070995412741498</v>
      </c>
      <c r="G41">
        <v>1.7505667741340001</v>
      </c>
      <c r="H41">
        <v>3.82174515724182</v>
      </c>
      <c r="I41">
        <v>1</v>
      </c>
    </row>
    <row r="42" spans="1:23" x14ac:dyDescent="0.25">
      <c r="E42">
        <v>2.8024489900517802</v>
      </c>
      <c r="F42">
        <v>5.2274728900212803</v>
      </c>
      <c r="G42">
        <v>1.6477095021224399</v>
      </c>
      <c r="H42">
        <v>7.6434903144836399</v>
      </c>
      <c r="I42">
        <v>2</v>
      </c>
    </row>
    <row r="43" spans="1:23" x14ac:dyDescent="0.25">
      <c r="E43">
        <v>2.5497414736263599</v>
      </c>
      <c r="F43">
        <v>5.1380596005346799</v>
      </c>
      <c r="G43">
        <v>1.66815457425959</v>
      </c>
      <c r="H43">
        <v>11.4652354717254</v>
      </c>
      <c r="I43">
        <v>3</v>
      </c>
    </row>
    <row r="44" spans="1:23" x14ac:dyDescent="0.25">
      <c r="E44">
        <v>2.2423513043650001</v>
      </c>
      <c r="F44">
        <v>5.0812309650030798</v>
      </c>
      <c r="G44">
        <v>1.64374564307321</v>
      </c>
      <c r="H44">
        <v>15.2869806289672</v>
      </c>
      <c r="I44">
        <v>4</v>
      </c>
    </row>
    <row r="45" spans="1:23" x14ac:dyDescent="0.25">
      <c r="E45">
        <v>2.0238562481827098</v>
      </c>
      <c r="F45">
        <v>5.0741809068628996</v>
      </c>
      <c r="G45">
        <v>1.75886045750382</v>
      </c>
      <c r="H45">
        <v>19.108725786209099</v>
      </c>
      <c r="I45">
        <v>5</v>
      </c>
    </row>
    <row r="46" spans="1:23" x14ac:dyDescent="0.25">
      <c r="E46">
        <v>1.98666620079336</v>
      </c>
      <c r="F46">
        <v>5.1383017437766103</v>
      </c>
      <c r="G46">
        <v>1.71422649260183</v>
      </c>
      <c r="H46">
        <v>22.930470943450899</v>
      </c>
      <c r="I46">
        <v>6</v>
      </c>
    </row>
    <row r="47" spans="1:23" x14ac:dyDescent="0.25">
      <c r="E47">
        <v>1.97338700436128</v>
      </c>
      <c r="F47">
        <v>5.1829430878032303</v>
      </c>
      <c r="G47">
        <v>1.6307649068123</v>
      </c>
      <c r="H47">
        <v>26.752216100692699</v>
      </c>
      <c r="I47">
        <v>7</v>
      </c>
    </row>
    <row r="48" spans="1:23" x14ac:dyDescent="0.25">
      <c r="E48">
        <v>2.1735816891621802</v>
      </c>
      <c r="F48">
        <v>5.2785413088831996</v>
      </c>
      <c r="G48">
        <v>1.4166030752566601</v>
      </c>
      <c r="H48">
        <v>30.573961257934499</v>
      </c>
      <c r="I48">
        <v>8</v>
      </c>
    </row>
    <row r="49" spans="5:9" x14ac:dyDescent="0.25">
      <c r="E49">
        <v>2.21608429978067</v>
      </c>
      <c r="F49">
        <v>5.3408265736813396</v>
      </c>
      <c r="G49">
        <v>1.2489466741503801</v>
      </c>
      <c r="H49">
        <v>34.395706415176299</v>
      </c>
      <c r="I49">
        <v>9</v>
      </c>
    </row>
    <row r="50" spans="5:9" x14ac:dyDescent="0.25">
      <c r="E50">
        <v>2.1665239141340602</v>
      </c>
      <c r="F50">
        <v>5.6433814266055302</v>
      </c>
      <c r="G50">
        <v>1.42699557441619</v>
      </c>
      <c r="H50">
        <v>38.217451572418199</v>
      </c>
      <c r="I50">
        <v>10</v>
      </c>
    </row>
    <row r="51" spans="5:9" x14ac:dyDescent="0.25">
      <c r="E51">
        <v>2.3637088745858801</v>
      </c>
      <c r="F51">
        <v>5.5045812948381503</v>
      </c>
      <c r="G51">
        <v>1.5375439932617101</v>
      </c>
      <c r="H51">
        <v>42.039196729659999</v>
      </c>
      <c r="I51">
        <v>11</v>
      </c>
    </row>
    <row r="52" spans="5:9" x14ac:dyDescent="0.25">
      <c r="E52">
        <v>2.4864866374211401</v>
      </c>
      <c r="F52">
        <v>5.4470242707492504</v>
      </c>
      <c r="G52">
        <v>1.31195435003442</v>
      </c>
      <c r="H52">
        <v>45.860941886901799</v>
      </c>
      <c r="I52">
        <v>12</v>
      </c>
    </row>
    <row r="53" spans="5:9" x14ac:dyDescent="0.25">
      <c r="E53">
        <v>2.5207137876161201</v>
      </c>
      <c r="F53">
        <v>5.4163398136899401</v>
      </c>
      <c r="G53">
        <v>1.32930430670318</v>
      </c>
      <c r="H53">
        <v>49.682687044143599</v>
      </c>
      <c r="I53">
        <v>13</v>
      </c>
    </row>
    <row r="54" spans="5:9" x14ac:dyDescent="0.25">
      <c r="E54">
        <v>2.5330828018393898</v>
      </c>
      <c r="F54">
        <v>5.5553933909374598</v>
      </c>
      <c r="G54">
        <v>1.25097057133823</v>
      </c>
      <c r="H54">
        <v>53.504432201385498</v>
      </c>
      <c r="I54">
        <v>14</v>
      </c>
    </row>
    <row r="55" spans="5:9" x14ac:dyDescent="0.25">
      <c r="E55">
        <v>2.5466042744944999</v>
      </c>
      <c r="F55">
        <v>5.5809227607196004</v>
      </c>
      <c r="G55">
        <v>1.3696313661770001</v>
      </c>
      <c r="H55">
        <v>57.326177358627298</v>
      </c>
      <c r="I55">
        <v>15</v>
      </c>
    </row>
    <row r="56" spans="5:9" x14ac:dyDescent="0.25">
      <c r="E56">
        <v>2.7817942427331599</v>
      </c>
      <c r="F56">
        <v>5.7226859310230802</v>
      </c>
      <c r="G56">
        <v>1.2695139975121901</v>
      </c>
      <c r="H56">
        <v>61.147922515869098</v>
      </c>
      <c r="I56">
        <v>16</v>
      </c>
    </row>
    <row r="57" spans="5:9" x14ac:dyDescent="0.25">
      <c r="E57">
        <v>2.8255168662920398</v>
      </c>
      <c r="F57">
        <v>5.6577741502559302</v>
      </c>
      <c r="G57">
        <v>1.2494893756582</v>
      </c>
      <c r="H57">
        <v>64.969667673110905</v>
      </c>
      <c r="I57">
        <v>17</v>
      </c>
    </row>
    <row r="58" spans="5:9" x14ac:dyDescent="0.25">
      <c r="E58">
        <v>2.8487353655334</v>
      </c>
      <c r="F58">
        <v>5.61060131150139</v>
      </c>
      <c r="G58">
        <v>1.17338094528574</v>
      </c>
      <c r="H58">
        <v>68.791412830352698</v>
      </c>
      <c r="I58">
        <v>18</v>
      </c>
    </row>
    <row r="59" spans="5:9" x14ac:dyDescent="0.25">
      <c r="E59">
        <v>2.91684559238369</v>
      </c>
      <c r="F59">
        <v>5.6514592848772702</v>
      </c>
      <c r="G59">
        <v>1.2909941759213099</v>
      </c>
      <c r="H59">
        <v>72.613157987594604</v>
      </c>
      <c r="I59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240627_triple_12_Cell 6_Kar9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2024-12-11T17:22:56Z</dcterms:created>
  <dcterms:modified xsi:type="dcterms:W3CDTF">2024-12-11T18:10:37Z</dcterms:modified>
</cp:coreProperties>
</file>