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Anaphase A\"/>
    </mc:Choice>
  </mc:AlternateContent>
  <xr:revisionPtr revIDLastSave="0" documentId="13_ncr:1_{1B7369C8-C832-4170-97C3-E7F32DB1BDAE}" xr6:coauthVersionLast="45" xr6:coauthVersionMax="45" xr10:uidLastSave="{00000000-0000-0000-0000-000000000000}"/>
  <bookViews>
    <workbookView xWindow="2490" yWindow="555" windowWidth="24165" windowHeight="14565" xr2:uid="{00000000-000D-0000-FFFF-FFFF00000000}"/>
  </bookViews>
  <sheets>
    <sheet name="240627_triple_8_Cell 15_Kar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16" i="1" l="1"/>
  <c r="W17" i="1"/>
  <c r="W18" i="1"/>
  <c r="W19" i="1"/>
  <c r="W20" i="1"/>
  <c r="W1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5" i="1"/>
</calcChain>
</file>

<file path=xl/sharedStrings.xml><?xml version="1.0" encoding="utf-8"?>
<sst xmlns="http://schemas.openxmlformats.org/spreadsheetml/2006/main" count="88" uniqueCount="70">
  <si>
    <t>LABEL</t>
  </si>
  <si>
    <t>ID</t>
  </si>
  <si>
    <t>TRACK_ID</t>
  </si>
  <si>
    <t>QUALITY</t>
  </si>
  <si>
    <t>POSITION_X</t>
  </si>
  <si>
    <t>POSITION_Y</t>
  </si>
  <si>
    <t>POSITION_Z</t>
  </si>
  <si>
    <t>POSITION_T</t>
  </si>
  <si>
    <t>FRAME</t>
  </si>
  <si>
    <t>RADIUS</t>
  </si>
  <si>
    <t>VISIBILITY</t>
  </si>
  <si>
    <t>MANUAL_SPOT_COLOR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</si>
  <si>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</si>
  <si>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</si>
  <si>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</si>
  <si>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</si>
  <si>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</si>
  <si>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</si>
  <si>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CONTRAST_CH1</t>
  </si>
  <si>
    <t>SNR_CH1</t>
  </si>
  <si>
    <t>Label</t>
  </si>
  <si>
    <t>Spot ID</t>
  </si>
  <si>
    <t>Track ID</t>
  </si>
  <si>
    <t>Quality</t>
  </si>
  <si>
    <t>X</t>
  </si>
  <si>
    <t>Y</t>
  </si>
  <si>
    <t>Z</t>
  </si>
  <si>
    <t>T</t>
  </si>
  <si>
    <t>Frame</t>
  </si>
  <si>
    <t>Radius</t>
  </si>
  <si>
    <t>Visibility</t>
  </si>
  <si>
    <t>Manual spot color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</si>
  <si>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</si>
  <si>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</si>
  <si>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</si>
  <si>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</si>
  <si>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</si>
  <si>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</si>
  <si>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Contrast ch1</t>
  </si>
  <si>
    <t>Signal/Noise ratio ch1</t>
  </si>
  <si>
    <t>R</t>
  </si>
  <si>
    <t>Spot color</t>
  </si>
  <si>
    <t>Mean ch1</t>
  </si>
  <si>
    <t>Median ch1</t>
  </si>
  <si>
    <t>Min ch1</t>
  </si>
  <si>
    <t>Max ch1</t>
  </si>
  <si>
    <t>Sum ch1</t>
  </si>
  <si>
    <t>Std ch1</t>
  </si>
  <si>
    <t>Ctrst ch1</t>
  </si>
  <si>
    <t>SNR ch1</t>
  </si>
  <si>
    <t>(quality)</t>
  </si>
  <si>
    <t>(micron)</t>
  </si>
  <si>
    <t>(sec)</t>
  </si>
  <si>
    <t>(counts)</t>
  </si>
  <si>
    <t>ID450156</t>
  </si>
  <si>
    <t>ID450137</t>
  </si>
  <si>
    <t>ID450128</t>
  </si>
  <si>
    <t>ID450146</t>
  </si>
  <si>
    <t>ID450160</t>
  </si>
  <si>
    <t>ID450138</t>
  </si>
  <si>
    <t>ID450148</t>
  </si>
  <si>
    <t>ID450130</t>
  </si>
  <si>
    <t>ID450176</t>
  </si>
  <si>
    <t>ID450165</t>
  </si>
  <si>
    <t>ID450185</t>
  </si>
  <si>
    <t>ID450191</t>
  </si>
  <si>
    <t>ID450170</t>
  </si>
  <si>
    <t>ID450180</t>
  </si>
  <si>
    <t>ID450189</t>
  </si>
  <si>
    <t>ID450197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</si>
</sst>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'240627_triple_8_Cell 15_Kar9'!$H$5:$H$20</c:f>
              <c:numCache>
                <c:formatCode>General</c:formatCode>
                <c:ptCount val="16"/>
                <c:pt idx="0">
                  <c:v>0</c:v>
                </c:pt>
                <c:pt idx="1">
                  <c:v>3.82258105278015</c:v>
                </c:pt>
                <c:pt idx="2">
                  <c:v>7.6451621055603001</c:v>
                </c:pt>
                <c:pt idx="3">
                  <c:v>11.467743158340401</c:v>
                </c:pt>
                <c:pt idx="4">
                  <c:v>15.2903242111206</c:v>
                </c:pt>
                <c:pt idx="5">
                  <c:v>19.1129052639007</c:v>
                </c:pt>
                <c:pt idx="6">
                  <c:v>22.935486316680901</c:v>
                </c:pt>
                <c:pt idx="7">
                  <c:v>26.758067369460999</c:v>
                </c:pt>
                <c:pt idx="8">
                  <c:v>30.5806484222412</c:v>
                </c:pt>
                <c:pt idx="9">
                  <c:v>34.403229475021298</c:v>
                </c:pt>
                <c:pt idx="10">
                  <c:v>38.225810527801499</c:v>
                </c:pt>
                <c:pt idx="11">
                  <c:v>42.048391580581601</c:v>
                </c:pt>
                <c:pt idx="12">
                  <c:v>45.870972633361802</c:v>
                </c:pt>
                <c:pt idx="13">
                  <c:v>49.693553686141897</c:v>
                </c:pt>
                <c:pt idx="14">
                  <c:v>53.516134738922098</c:v>
                </c:pt>
                <c:pt idx="15">
                  <c:v>57.338715791702199</c:v>
                </c:pt>
              </c:numCache>
            </c:numRef>
          </c:xVal>
          <c:yVal>
            <c:numRef>
              <c:f>'240627_triple_8_Cell 15_Kar9'!$V$5:$V$20</c:f>
              <c:numCache>
                <c:formatCode>General</c:formatCode>
                <c:ptCount val="16"/>
                <c:pt idx="0">
                  <c:v>1.8370011327752869</c:v>
                </c:pt>
                <c:pt idx="1">
                  <c:v>1.8745901075743649</c:v>
                </c:pt>
                <c:pt idx="2">
                  <c:v>1.927074384784172</c:v>
                </c:pt>
                <c:pt idx="3">
                  <c:v>1.9532407859064529</c:v>
                </c:pt>
                <c:pt idx="4">
                  <c:v>1.9834040391975216</c:v>
                </c:pt>
                <c:pt idx="5">
                  <c:v>2.0156707466659833</c:v>
                </c:pt>
                <c:pt idx="6">
                  <c:v>2.0876762011981569</c:v>
                </c:pt>
                <c:pt idx="7">
                  <c:v>2.0487289490257745</c:v>
                </c:pt>
                <c:pt idx="8">
                  <c:v>2.0870634125513403</c:v>
                </c:pt>
                <c:pt idx="9">
                  <c:v>2.2078848484346794</c:v>
                </c:pt>
                <c:pt idx="10">
                  <c:v>2.2398799561880463</c:v>
                </c:pt>
                <c:pt idx="11">
                  <c:v>2.2904480700059864</c:v>
                </c:pt>
                <c:pt idx="12">
                  <c:v>2.3396292644450059</c:v>
                </c:pt>
                <c:pt idx="13">
                  <c:v>2.2693597384612958</c:v>
                </c:pt>
                <c:pt idx="14">
                  <c:v>1.9957545421826259</c:v>
                </c:pt>
                <c:pt idx="15">
                  <c:v>2.097939462706262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DD-49F7-9063-025FCD7FC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371960"/>
        <c:axId val="640372288"/>
      </c:scatterChart>
      <c:valAx>
        <c:axId val="640371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372288"/>
        <c:crosses val="autoZero"/>
        <c:crossBetween val="midCat"/>
      </c:valAx>
      <c:valAx>
        <c:axId val="6403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371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395287</xdr:colOff>
      <xdr:row>10</xdr:row>
      <xdr:rowOff>47625</xdr:rowOff>
    </xdr:from>
    <xdr:to>
      <xdr:col>19</xdr:col>
      <xdr:colOff>161925</xdr:colOff>
      <xdr:row>26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C1F4C1-FA5E-4710-BDE0-75F6BBCE5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workbookViewId="0">
      <selection activeCell="W25" sqref="W25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3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3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40</v>
      </c>
      <c r="K3" t="s">
        <v>30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</row>
    <row r="4" spans="1:23" x14ac:dyDescent="0.25">
      <c r="D4" t="s">
        <v>50</v>
      </c>
      <c r="E4" t="s">
        <v>51</v>
      </c>
      <c r="F4" t="s">
        <v>51</v>
      </c>
      <c r="G4" t="s">
        <v>51</v>
      </c>
      <c r="H4" t="s">
        <v>52</v>
      </c>
      <c r="J4" t="s">
        <v>51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</row>
    <row r="5" spans="1:23" x14ac:dyDescent="0.25">
      <c r="A5" t="s">
        <v>54</v>
      </c>
      <c r="B5">
        <v>450156</v>
      </c>
      <c r="C5">
        <v>2</v>
      </c>
      <c r="D5">
        <v>2.9293193817138601</v>
      </c>
      <c r="E5">
        <v>3.5095271332502298</v>
      </c>
      <c r="F5">
        <v>7.7698931711521304</v>
      </c>
      <c r="G5">
        <v>3.2413715230160398</v>
      </c>
      <c r="H5">
        <v>0</v>
      </c>
      <c r="I5">
        <v>0</v>
      </c>
      <c r="J5">
        <v>0.1</v>
      </c>
      <c r="K5">
        <v>1</v>
      </c>
      <c r="M5">
        <v>23.443037974683499</v>
      </c>
      <c r="N5">
        <v>23</v>
      </c>
      <c r="O5">
        <v>13</v>
      </c>
      <c r="P5">
        <v>32</v>
      </c>
      <c r="Q5">
        <v>1852</v>
      </c>
      <c r="R5">
        <v>4.9374207827284602</v>
      </c>
      <c r="S5">
        <v>0.266098740205927</v>
      </c>
      <c r="T5">
        <v>1.99580905080347</v>
      </c>
      <c r="V5">
        <f>SQRT((E23-E5)^2+(F23-F5)^2+(G23-G5)^2)</f>
        <v>1.8370011327752869</v>
      </c>
    </row>
    <row r="6" spans="1:23" x14ac:dyDescent="0.25">
      <c r="A6" t="s">
        <v>55</v>
      </c>
      <c r="B6">
        <v>450137</v>
      </c>
      <c r="C6">
        <v>2</v>
      </c>
      <c r="D6">
        <v>9.2320518493652308</v>
      </c>
      <c r="E6">
        <v>3.35540540536994</v>
      </c>
      <c r="F6">
        <v>8.1948041769312496</v>
      </c>
      <c r="G6">
        <v>2.80765971378242</v>
      </c>
      <c r="H6">
        <v>3.82258105278015</v>
      </c>
      <c r="I6">
        <v>1</v>
      </c>
      <c r="J6">
        <v>0.1</v>
      </c>
      <c r="K6">
        <v>1</v>
      </c>
      <c r="M6">
        <v>61.708860759493597</v>
      </c>
      <c r="N6">
        <v>61</v>
      </c>
      <c r="O6">
        <v>33</v>
      </c>
      <c r="P6">
        <v>89</v>
      </c>
      <c r="Q6">
        <v>4875</v>
      </c>
      <c r="R6">
        <v>13.5997284086137</v>
      </c>
      <c r="S6">
        <v>0.33331712586969497</v>
      </c>
      <c r="T6">
        <v>2.2686706878937599</v>
      </c>
      <c r="V6">
        <f t="shared" ref="V6:W20" si="0">SQRT((E24-E6)^2+(F24-F6)^2+(G24-G6)^2)</f>
        <v>1.8745901075743649</v>
      </c>
    </row>
    <row r="7" spans="1:23" x14ac:dyDescent="0.25">
      <c r="A7" t="s">
        <v>56</v>
      </c>
      <c r="B7">
        <v>450128</v>
      </c>
      <c r="C7">
        <v>2</v>
      </c>
      <c r="D7">
        <v>11.4397888183593</v>
      </c>
      <c r="E7">
        <v>3.9137306883818099</v>
      </c>
      <c r="F7">
        <v>8.01952320580763</v>
      </c>
      <c r="G7">
        <v>2.9281195410983201</v>
      </c>
      <c r="H7">
        <v>7.6451621055603001</v>
      </c>
      <c r="I7">
        <v>2</v>
      </c>
      <c r="J7">
        <v>0.1</v>
      </c>
      <c r="K7">
        <v>1</v>
      </c>
      <c r="M7">
        <v>82.974683544303801</v>
      </c>
      <c r="N7">
        <v>82</v>
      </c>
      <c r="O7">
        <v>52</v>
      </c>
      <c r="P7">
        <v>115</v>
      </c>
      <c r="Q7">
        <v>6555</v>
      </c>
      <c r="R7">
        <v>16.653308505922801</v>
      </c>
      <c r="S7">
        <v>0.302673743655137</v>
      </c>
      <c r="T7">
        <v>2.3153367310720001</v>
      </c>
      <c r="V7">
        <f t="shared" si="0"/>
        <v>1.927074384784172</v>
      </c>
    </row>
    <row r="8" spans="1:23" x14ac:dyDescent="0.25">
      <c r="A8" t="s">
        <v>57</v>
      </c>
      <c r="B8">
        <v>450146</v>
      </c>
      <c r="C8">
        <v>2</v>
      </c>
      <c r="D8">
        <v>13.5188446044921</v>
      </c>
      <c r="E8">
        <v>4.5293192632119599</v>
      </c>
      <c r="F8">
        <v>7.7501786414396996</v>
      </c>
      <c r="G8">
        <v>2.5882082783484202</v>
      </c>
      <c r="H8">
        <v>11.467743158340401</v>
      </c>
      <c r="I8">
        <v>3</v>
      </c>
      <c r="J8">
        <v>0.1</v>
      </c>
      <c r="K8">
        <v>1</v>
      </c>
      <c r="M8">
        <v>84.911392405063296</v>
      </c>
      <c r="N8">
        <v>86</v>
      </c>
      <c r="O8">
        <v>43</v>
      </c>
      <c r="P8">
        <v>126</v>
      </c>
      <c r="Q8">
        <v>6708</v>
      </c>
      <c r="R8">
        <v>21.329039956647101</v>
      </c>
      <c r="S8">
        <v>0.35749322906067998</v>
      </c>
      <c r="T8">
        <v>2.0967893354354499</v>
      </c>
      <c r="V8">
        <f t="shared" si="0"/>
        <v>1.9532407859064529</v>
      </c>
    </row>
    <row r="9" spans="1:23" x14ac:dyDescent="0.25">
      <c r="A9" t="s">
        <v>58</v>
      </c>
      <c r="B9">
        <v>450160</v>
      </c>
      <c r="C9">
        <v>2</v>
      </c>
      <c r="D9">
        <v>8.8031921386718697</v>
      </c>
      <c r="E9">
        <v>4.6268565298290296</v>
      </c>
      <c r="F9">
        <v>7.77152701865176</v>
      </c>
      <c r="G9">
        <v>2.1841311049743402</v>
      </c>
      <c r="H9">
        <v>15.2903242111206</v>
      </c>
      <c r="I9">
        <v>4</v>
      </c>
      <c r="J9">
        <v>0.1</v>
      </c>
      <c r="K9">
        <v>1</v>
      </c>
      <c r="M9">
        <v>57.784810126582201</v>
      </c>
      <c r="N9">
        <v>59</v>
      </c>
      <c r="O9">
        <v>28</v>
      </c>
      <c r="P9">
        <v>85</v>
      </c>
      <c r="Q9">
        <v>4565</v>
      </c>
      <c r="R9">
        <v>14.121878721237101</v>
      </c>
      <c r="S9">
        <v>0.34320233691378899</v>
      </c>
      <c r="T9">
        <v>2.0910287613941199</v>
      </c>
      <c r="V9">
        <f t="shared" si="0"/>
        <v>1.9834040391975216</v>
      </c>
    </row>
    <row r="10" spans="1:23" x14ac:dyDescent="0.25">
      <c r="A10" t="s">
        <v>59</v>
      </c>
      <c r="B10">
        <v>450138</v>
      </c>
      <c r="C10">
        <v>2</v>
      </c>
      <c r="D10">
        <v>10.352367401123001</v>
      </c>
      <c r="E10">
        <v>4.7477157602354998</v>
      </c>
      <c r="F10">
        <v>7.66964111605854</v>
      </c>
      <c r="G10">
        <v>2.0135941938846398</v>
      </c>
      <c r="H10">
        <v>19.1129052639007</v>
      </c>
      <c r="I10">
        <v>5</v>
      </c>
      <c r="J10">
        <v>0.1</v>
      </c>
      <c r="K10">
        <v>1</v>
      </c>
      <c r="M10">
        <v>73.101265822784796</v>
      </c>
      <c r="N10">
        <v>75</v>
      </c>
      <c r="O10">
        <v>36</v>
      </c>
      <c r="P10">
        <v>103</v>
      </c>
      <c r="Q10">
        <v>5775</v>
      </c>
      <c r="R10">
        <v>15.7883395277596</v>
      </c>
      <c r="S10">
        <v>0.31775145584914599</v>
      </c>
      <c r="T10">
        <v>2.2329164848892198</v>
      </c>
      <c r="V10">
        <f t="shared" si="0"/>
        <v>2.0156707466659833</v>
      </c>
    </row>
    <row r="11" spans="1:23" x14ac:dyDescent="0.25">
      <c r="A11" t="s">
        <v>60</v>
      </c>
      <c r="B11">
        <v>450148</v>
      </c>
      <c r="C11">
        <v>2</v>
      </c>
      <c r="D11">
        <v>9.4816551208496094</v>
      </c>
      <c r="E11">
        <v>4.8023989438766099</v>
      </c>
      <c r="F11">
        <v>7.9025556827142696</v>
      </c>
      <c r="G11">
        <v>1.94184844588534</v>
      </c>
      <c r="H11">
        <v>22.935486316680901</v>
      </c>
      <c r="I11">
        <v>6</v>
      </c>
      <c r="J11">
        <v>0.1</v>
      </c>
      <c r="K11">
        <v>1</v>
      </c>
      <c r="M11">
        <v>67.924050632911303</v>
      </c>
      <c r="N11">
        <v>68</v>
      </c>
      <c r="O11">
        <v>38</v>
      </c>
      <c r="P11">
        <v>94</v>
      </c>
      <c r="Q11">
        <v>5366</v>
      </c>
      <c r="R11">
        <v>14.580257245012399</v>
      </c>
      <c r="S11">
        <v>0.31111135243142202</v>
      </c>
      <c r="T11">
        <v>2.21087743531064</v>
      </c>
      <c r="V11">
        <f t="shared" si="0"/>
        <v>2.0876762011981569</v>
      </c>
    </row>
    <row r="12" spans="1:23" x14ac:dyDescent="0.25">
      <c r="A12" t="s">
        <v>61</v>
      </c>
      <c r="B12">
        <v>450130</v>
      </c>
      <c r="C12">
        <v>2</v>
      </c>
      <c r="D12">
        <v>12.8951110839843</v>
      </c>
      <c r="E12">
        <v>4.3013161704474703</v>
      </c>
      <c r="F12">
        <v>8.3164581296382192</v>
      </c>
      <c r="G12">
        <v>1.8494377878977</v>
      </c>
      <c r="H12">
        <v>26.758067369460999</v>
      </c>
      <c r="I12">
        <v>7</v>
      </c>
      <c r="J12">
        <v>0.1</v>
      </c>
      <c r="K12">
        <v>1</v>
      </c>
      <c r="M12">
        <v>91.455696202531598</v>
      </c>
      <c r="N12">
        <v>90</v>
      </c>
      <c r="O12">
        <v>47</v>
      </c>
      <c r="P12">
        <v>129</v>
      </c>
      <c r="Q12">
        <v>7225</v>
      </c>
      <c r="R12">
        <v>20.843001326986901</v>
      </c>
      <c r="S12">
        <v>0.31667102435335098</v>
      </c>
      <c r="T12">
        <v>2.11062728555715</v>
      </c>
      <c r="V12">
        <f t="shared" si="0"/>
        <v>2.0487289490257745</v>
      </c>
    </row>
    <row r="13" spans="1:23" x14ac:dyDescent="0.25">
      <c r="A13" t="s">
        <v>62</v>
      </c>
      <c r="B13">
        <v>450176</v>
      </c>
      <c r="C13">
        <v>2</v>
      </c>
      <c r="D13">
        <v>12.3591537475585</v>
      </c>
      <c r="E13">
        <v>4.3009704059414897</v>
      </c>
      <c r="F13">
        <v>8.3674874614398203</v>
      </c>
      <c r="G13">
        <v>1.7367791192073601</v>
      </c>
      <c r="H13">
        <v>30.5806484222412</v>
      </c>
      <c r="I13">
        <v>8</v>
      </c>
      <c r="J13">
        <v>0.1</v>
      </c>
      <c r="K13">
        <v>1</v>
      </c>
      <c r="M13">
        <v>92.936708860759495</v>
      </c>
      <c r="N13">
        <v>96</v>
      </c>
      <c r="O13">
        <v>41</v>
      </c>
      <c r="P13">
        <v>127</v>
      </c>
      <c r="Q13">
        <v>7342</v>
      </c>
      <c r="R13">
        <v>20.2423406040927</v>
      </c>
      <c r="S13">
        <v>0.29407735567812399</v>
      </c>
      <c r="T13">
        <v>2.0866898480108098</v>
      </c>
      <c r="V13">
        <f t="shared" si="0"/>
        <v>2.0870634125513403</v>
      </c>
    </row>
    <row r="14" spans="1:23" x14ac:dyDescent="0.25">
      <c r="A14" t="s">
        <v>63</v>
      </c>
      <c r="B14">
        <v>450165</v>
      </c>
      <c r="C14">
        <v>2</v>
      </c>
      <c r="D14">
        <v>12.483642578125</v>
      </c>
      <c r="E14">
        <v>3.9906154109276901</v>
      </c>
      <c r="F14">
        <v>8.6264835812944192</v>
      </c>
      <c r="G14">
        <v>1.9300143973819299</v>
      </c>
      <c r="H14">
        <v>34.403229475021298</v>
      </c>
      <c r="I14">
        <v>9</v>
      </c>
      <c r="J14">
        <v>0.1</v>
      </c>
      <c r="K14">
        <v>1</v>
      </c>
      <c r="M14">
        <v>80.632911392405006</v>
      </c>
      <c r="N14">
        <v>80</v>
      </c>
      <c r="O14">
        <v>33</v>
      </c>
      <c r="P14">
        <v>119</v>
      </c>
      <c r="Q14">
        <v>6370</v>
      </c>
      <c r="R14">
        <v>22.232557101270999</v>
      </c>
      <c r="S14">
        <v>0.34634866332388697</v>
      </c>
      <c r="T14">
        <v>1.8659881983530799</v>
      </c>
      <c r="V14">
        <f t="shared" si="0"/>
        <v>2.2078848484346794</v>
      </c>
    </row>
    <row r="15" spans="1:23" x14ac:dyDescent="0.25">
      <c r="A15" t="s">
        <v>64</v>
      </c>
      <c r="B15">
        <v>450185</v>
      </c>
      <c r="C15">
        <v>2</v>
      </c>
      <c r="D15">
        <v>6.3888511657714799</v>
      </c>
      <c r="E15">
        <v>3.8543979416493199</v>
      </c>
      <c r="F15">
        <v>8.5878332519938603</v>
      </c>
      <c r="G15">
        <v>1.55108277622741</v>
      </c>
      <c r="H15">
        <v>38.225810527801499</v>
      </c>
      <c r="I15">
        <v>10</v>
      </c>
      <c r="J15">
        <v>0.1</v>
      </c>
      <c r="K15">
        <v>1</v>
      </c>
      <c r="M15">
        <v>41.291139240506297</v>
      </c>
      <c r="N15">
        <v>41</v>
      </c>
      <c r="O15">
        <v>25</v>
      </c>
      <c r="P15">
        <v>60</v>
      </c>
      <c r="Q15">
        <v>3262</v>
      </c>
      <c r="R15">
        <v>9.1681610419221897</v>
      </c>
      <c r="S15">
        <v>0.34372318149050801</v>
      </c>
      <c r="T15">
        <v>2.30411229441173</v>
      </c>
      <c r="V15">
        <f t="shared" si="0"/>
        <v>2.2398799561880463</v>
      </c>
      <c r="W15">
        <f>SQRT((E15-E14)^2+(F15-F14)^2+(G15-G14)^2)</f>
        <v>0.40452221249572684</v>
      </c>
    </row>
    <row r="16" spans="1:23" x14ac:dyDescent="0.25">
      <c r="A16" t="s">
        <v>65</v>
      </c>
      <c r="B16">
        <v>450191</v>
      </c>
      <c r="C16">
        <v>2</v>
      </c>
      <c r="D16">
        <v>4.2267379760742099</v>
      </c>
      <c r="E16">
        <v>3.7200877003225199</v>
      </c>
      <c r="F16">
        <v>8.6141139863869007</v>
      </c>
      <c r="G16">
        <v>1.32640086005763</v>
      </c>
      <c r="H16">
        <v>42.048391580581601</v>
      </c>
      <c r="I16">
        <v>11</v>
      </c>
      <c r="J16">
        <v>0.1</v>
      </c>
      <c r="K16">
        <v>1</v>
      </c>
      <c r="M16">
        <v>30.1898734177215</v>
      </c>
      <c r="N16">
        <v>31</v>
      </c>
      <c r="O16">
        <v>18</v>
      </c>
      <c r="P16">
        <v>42</v>
      </c>
      <c r="Q16">
        <v>2385</v>
      </c>
      <c r="R16">
        <v>6.1437396724843998</v>
      </c>
      <c r="S16">
        <v>0.30618628139293003</v>
      </c>
      <c r="T16">
        <v>2.3037698634921</v>
      </c>
      <c r="V16">
        <f t="shared" si="0"/>
        <v>2.2904480700059864</v>
      </c>
      <c r="W16">
        <f t="shared" ref="W16:W20" si="1">SQRT((E16-E15)^2+(F16-F15)^2+(G16-G15)^2)</f>
        <v>0.26308151090341719</v>
      </c>
    </row>
    <row r="17" spans="1:23" x14ac:dyDescent="0.25">
      <c r="A17" t="s">
        <v>66</v>
      </c>
      <c r="B17">
        <v>450170</v>
      </c>
      <c r="C17">
        <v>2</v>
      </c>
      <c r="D17">
        <v>2.9847526550292902</v>
      </c>
      <c r="E17">
        <v>3.6141829361070901</v>
      </c>
      <c r="F17">
        <v>8.6086157354669908</v>
      </c>
      <c r="G17">
        <v>1.34903631249949</v>
      </c>
      <c r="H17">
        <v>45.870972633361802</v>
      </c>
      <c r="I17">
        <v>12</v>
      </c>
      <c r="J17">
        <v>0.1</v>
      </c>
      <c r="K17">
        <v>1</v>
      </c>
      <c r="M17">
        <v>19.949367088607499</v>
      </c>
      <c r="N17">
        <v>20</v>
      </c>
      <c r="O17">
        <v>10</v>
      </c>
      <c r="P17">
        <v>29</v>
      </c>
      <c r="Q17">
        <v>1576</v>
      </c>
      <c r="R17">
        <v>4.7228270927627296</v>
      </c>
      <c r="S17">
        <v>0.33617197656235198</v>
      </c>
      <c r="T17">
        <v>2.12547607192292</v>
      </c>
      <c r="V17">
        <f t="shared" si="0"/>
        <v>2.3396292644450059</v>
      </c>
      <c r="W17">
        <f t="shared" si="1"/>
        <v>0.10843621882909685</v>
      </c>
    </row>
    <row r="18" spans="1:23" x14ac:dyDescent="0.25">
      <c r="A18" t="s">
        <v>67</v>
      </c>
      <c r="B18">
        <v>450180</v>
      </c>
      <c r="C18">
        <v>2</v>
      </c>
      <c r="D18">
        <v>4.9431495666503897</v>
      </c>
      <c r="E18">
        <v>3.8013802844928799</v>
      </c>
      <c r="F18">
        <v>8.4753381209189502</v>
      </c>
      <c r="G18">
        <v>1.3525366636770799</v>
      </c>
      <c r="H18">
        <v>49.693553686141897</v>
      </c>
      <c r="I18">
        <v>13</v>
      </c>
      <c r="J18">
        <v>0.1</v>
      </c>
      <c r="K18">
        <v>1</v>
      </c>
      <c r="M18">
        <v>33.683544303797397</v>
      </c>
      <c r="N18">
        <v>34</v>
      </c>
      <c r="O18">
        <v>17</v>
      </c>
      <c r="P18">
        <v>50</v>
      </c>
      <c r="Q18">
        <v>2661</v>
      </c>
      <c r="R18">
        <v>8.5042135918213901</v>
      </c>
      <c r="S18">
        <v>0.31475940819631598</v>
      </c>
      <c r="T18">
        <v>1.8964703289851901</v>
      </c>
      <c r="V18">
        <f t="shared" si="0"/>
        <v>2.2693597384612958</v>
      </c>
      <c r="W18">
        <f t="shared" si="1"/>
        <v>0.22982171838330095</v>
      </c>
    </row>
    <row r="19" spans="1:23" x14ac:dyDescent="0.25">
      <c r="A19" t="s">
        <v>68</v>
      </c>
      <c r="B19">
        <v>450189</v>
      </c>
      <c r="C19">
        <v>2</v>
      </c>
      <c r="D19">
        <v>4.5656642913818297</v>
      </c>
      <c r="E19">
        <v>4.5264831957357297</v>
      </c>
      <c r="F19">
        <v>8.00546745942024</v>
      </c>
      <c r="G19">
        <v>1.7381661208182999</v>
      </c>
      <c r="H19">
        <v>53.516134738922098</v>
      </c>
      <c r="I19">
        <v>14</v>
      </c>
      <c r="J19">
        <v>0.1</v>
      </c>
      <c r="K19">
        <v>1</v>
      </c>
      <c r="M19">
        <v>36.696202531645497</v>
      </c>
      <c r="N19">
        <v>37</v>
      </c>
      <c r="O19">
        <v>20</v>
      </c>
      <c r="P19">
        <v>49</v>
      </c>
      <c r="Q19">
        <v>2899</v>
      </c>
      <c r="R19">
        <v>7.7465532953988596</v>
      </c>
      <c r="S19">
        <v>0.27801755676067502</v>
      </c>
      <c r="T19">
        <v>2.0610000818780798</v>
      </c>
      <c r="V19">
        <f t="shared" si="0"/>
        <v>1.9957545421826259</v>
      </c>
      <c r="W19">
        <f t="shared" si="1"/>
        <v>0.94618325320474983</v>
      </c>
    </row>
    <row r="20" spans="1:23" x14ac:dyDescent="0.25">
      <c r="A20" t="s">
        <v>69</v>
      </c>
      <c r="B20">
        <v>450197</v>
      </c>
      <c r="C20">
        <v>2</v>
      </c>
      <c r="D20">
        <v>8.4342956542968697</v>
      </c>
      <c r="E20">
        <v>4.2308978964573303</v>
      </c>
      <c r="F20">
        <v>7.6958917318333704</v>
      </c>
      <c r="G20">
        <v>1.23622635005516</v>
      </c>
      <c r="H20">
        <v>57.338715791702199</v>
      </c>
      <c r="I20">
        <v>15</v>
      </c>
      <c r="J20">
        <v>0.1</v>
      </c>
      <c r="K20">
        <v>1</v>
      </c>
      <c r="M20">
        <v>51.075949367088597</v>
      </c>
      <c r="N20">
        <v>50</v>
      </c>
      <c r="O20">
        <v>27</v>
      </c>
      <c r="P20">
        <v>78</v>
      </c>
      <c r="Q20">
        <v>4035</v>
      </c>
      <c r="R20">
        <v>12.8838720011102</v>
      </c>
      <c r="S20">
        <v>0.37176270941549899</v>
      </c>
      <c r="T20">
        <v>2.1487548695016701</v>
      </c>
      <c r="V20">
        <f t="shared" si="0"/>
        <v>2.097939462706262</v>
      </c>
      <c r="W20">
        <f t="shared" si="1"/>
        <v>0.65966001374510641</v>
      </c>
    </row>
    <row r="23" spans="1:23" x14ac:dyDescent="0.25">
      <c r="E23">
        <v>3.8095410433081098</v>
      </c>
      <c r="F23">
        <v>6.1039240204614904</v>
      </c>
      <c r="G23">
        <v>2.52785095250908</v>
      </c>
      <c r="H23">
        <v>0</v>
      </c>
      <c r="I23">
        <v>0</v>
      </c>
    </row>
    <row r="24" spans="1:23" x14ac:dyDescent="0.25">
      <c r="E24">
        <v>3.7200796103802398</v>
      </c>
      <c r="F24">
        <v>6.3829914225604902</v>
      </c>
      <c r="G24">
        <v>2.49391564815692</v>
      </c>
      <c r="H24">
        <v>3.82258105278015</v>
      </c>
      <c r="I24">
        <v>1</v>
      </c>
    </row>
    <row r="25" spans="1:23" x14ac:dyDescent="0.25">
      <c r="E25">
        <v>3.7681700002305498</v>
      </c>
      <c r="F25">
        <v>6.16530355313194</v>
      </c>
      <c r="G25">
        <v>2.4238406002456698</v>
      </c>
      <c r="H25">
        <v>7.6451621055603001</v>
      </c>
      <c r="I25">
        <v>2</v>
      </c>
    </row>
    <row r="26" spans="1:23" x14ac:dyDescent="0.25">
      <c r="E26">
        <v>3.7526314030251799</v>
      </c>
      <c r="F26">
        <v>5.9732372687959501</v>
      </c>
      <c r="G26">
        <v>2.35500258855101</v>
      </c>
      <c r="H26">
        <v>11.467743158340401</v>
      </c>
      <c r="I26">
        <v>3</v>
      </c>
    </row>
    <row r="27" spans="1:23" x14ac:dyDescent="0.25">
      <c r="E27">
        <v>3.8981590939159401</v>
      </c>
      <c r="F27">
        <v>5.9341173003231003</v>
      </c>
      <c r="G27">
        <v>2.3478905523052598</v>
      </c>
      <c r="H27">
        <v>15.2903242111206</v>
      </c>
      <c r="I27">
        <v>4</v>
      </c>
    </row>
    <row r="28" spans="1:23" x14ac:dyDescent="0.25">
      <c r="E28">
        <v>3.9817102820630299</v>
      </c>
      <c r="F28">
        <v>5.8285434232812499</v>
      </c>
      <c r="G28">
        <v>2.30774288421813</v>
      </c>
      <c r="H28">
        <v>19.1129052639007</v>
      </c>
      <c r="I28">
        <v>5</v>
      </c>
    </row>
    <row r="29" spans="1:23" x14ac:dyDescent="0.25">
      <c r="E29">
        <v>4.00875897563441</v>
      </c>
      <c r="F29">
        <v>6.0058423541655603</v>
      </c>
      <c r="G29">
        <v>2.3037960541981501</v>
      </c>
      <c r="H29">
        <v>22.935486316680901</v>
      </c>
      <c r="I29">
        <v>6</v>
      </c>
    </row>
    <row r="30" spans="1:23" x14ac:dyDescent="0.25">
      <c r="E30">
        <v>4.1410080440346002</v>
      </c>
      <c r="F30">
        <v>6.3083406222339597</v>
      </c>
      <c r="G30">
        <v>2.2223395010055298</v>
      </c>
      <c r="H30">
        <v>26.758067369460999</v>
      </c>
      <c r="I30">
        <v>7</v>
      </c>
    </row>
    <row r="31" spans="1:23" x14ac:dyDescent="0.25">
      <c r="E31">
        <v>4.2139999018554501</v>
      </c>
      <c r="F31">
        <v>6.3743984904726503</v>
      </c>
      <c r="G31">
        <v>2.3498583744741599</v>
      </c>
      <c r="H31">
        <v>30.5806484222412</v>
      </c>
      <c r="I31">
        <v>8</v>
      </c>
    </row>
    <row r="32" spans="1:23" x14ac:dyDescent="0.25">
      <c r="E32">
        <v>4.3705501195066896</v>
      </c>
      <c r="F32">
        <v>6.4777034934147704</v>
      </c>
      <c r="G32">
        <v>2.26639105396848</v>
      </c>
      <c r="H32">
        <v>34.403229475021298</v>
      </c>
      <c r="I32">
        <v>9</v>
      </c>
    </row>
    <row r="33" spans="5:9" x14ac:dyDescent="0.25">
      <c r="E33">
        <v>4.4396206390598003</v>
      </c>
      <c r="F33">
        <v>6.5727192056663597</v>
      </c>
      <c r="G33">
        <v>2.3345953752723601</v>
      </c>
      <c r="H33">
        <v>38.225810527801499</v>
      </c>
      <c r="I33">
        <v>10</v>
      </c>
    </row>
    <row r="34" spans="5:9" x14ac:dyDescent="0.25">
      <c r="E34">
        <v>4.4610111711562697</v>
      </c>
      <c r="F34">
        <v>6.6530860207022897</v>
      </c>
      <c r="G34">
        <v>2.2491977442985198</v>
      </c>
      <c r="H34">
        <v>42.048391580581601</v>
      </c>
      <c r="I34">
        <v>11</v>
      </c>
    </row>
    <row r="35" spans="5:9" x14ac:dyDescent="0.25">
      <c r="E35">
        <v>4.2440017998395403</v>
      </c>
      <c r="F35">
        <v>6.5208389051993896</v>
      </c>
      <c r="G35">
        <v>2.1966100266577402</v>
      </c>
      <c r="H35">
        <v>45.870972633361802</v>
      </c>
      <c r="I35">
        <v>12</v>
      </c>
    </row>
    <row r="36" spans="5:9" x14ac:dyDescent="0.25">
      <c r="E36">
        <v>4.1048513621469098</v>
      </c>
      <c r="F36">
        <v>6.4001501641072904</v>
      </c>
      <c r="G36">
        <v>2.2194241255084699</v>
      </c>
      <c r="H36">
        <v>49.693553686141897</v>
      </c>
      <c r="I36">
        <v>13</v>
      </c>
    </row>
    <row r="37" spans="5:9" x14ac:dyDescent="0.25">
      <c r="E37">
        <v>3.9473035212575001</v>
      </c>
      <c r="F37">
        <v>6.27619568027366</v>
      </c>
      <c r="G37">
        <v>2.54884867962976</v>
      </c>
      <c r="H37">
        <v>53.516134738922098</v>
      </c>
      <c r="I37">
        <v>14</v>
      </c>
    </row>
    <row r="38" spans="5:9" x14ac:dyDescent="0.25">
      <c r="E38">
        <v>3.89963505844934</v>
      </c>
      <c r="F38">
        <v>6.2558853625550297</v>
      </c>
      <c r="G38">
        <v>2.72552033640337</v>
      </c>
      <c r="H38">
        <v>57.338715791702199</v>
      </c>
      <c r="I38">
        <v>15</v>
      </c>
    </row>
    <row r="39" spans="5:9" x14ac:dyDescent="0.25">
      <c r="E39">
        <v>3.9417054579519699</v>
      </c>
      <c r="F39">
        <v>6.2662901365497303</v>
      </c>
      <c r="G39">
        <v>2.6938500927134301</v>
      </c>
      <c r="H39">
        <v>61.161296844482401</v>
      </c>
      <c r="I39">
        <v>16</v>
      </c>
    </row>
    <row r="40" spans="5:9" x14ac:dyDescent="0.25">
      <c r="E40">
        <v>3.9463670124243801</v>
      </c>
      <c r="F40">
        <v>6.2732816624223497</v>
      </c>
      <c r="G40">
        <v>2.723277239058</v>
      </c>
      <c r="H40">
        <v>64.983877897262502</v>
      </c>
      <c r="I40">
        <v>17</v>
      </c>
    </row>
    <row r="41" spans="5:9" x14ac:dyDescent="0.25">
      <c r="E41">
        <v>3.9766992507031702</v>
      </c>
      <c r="F41">
        <v>6.3027903171914401</v>
      </c>
      <c r="G41">
        <v>2.72044143674673</v>
      </c>
      <c r="H41">
        <v>68.806458950042696</v>
      </c>
      <c r="I41">
        <v>18</v>
      </c>
    </row>
    <row r="42" spans="5:9" x14ac:dyDescent="0.25">
      <c r="E42">
        <v>3.9344952242118301</v>
      </c>
      <c r="F42">
        <v>6.2928929520609298</v>
      </c>
      <c r="G42">
        <v>2.6837461113900201</v>
      </c>
      <c r="H42">
        <v>72.629040002822805</v>
      </c>
      <c r="I42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240627_triple_8_Cell 15_Kar9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2024-12-11T16:24:59Z</dcterms:created>
  <dcterms:modified xsi:type="dcterms:W3CDTF">2024-12-11T16:27:05Z</dcterms:modified>
</cp:coreProperties>
</file>