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E6C58F36-9398-452E-9B5E-C603A8CE8E1D}" xr6:coauthVersionLast="45" xr6:coauthVersionMax="45" xr10:uidLastSave="{00000000-0000-0000-0000-000000000000}"/>
  <bookViews>
    <workbookView xWindow="1230" yWindow="570" windowWidth="26685" windowHeight="14565" xr2:uid="{00000000-000D-0000-FFFF-FFFF00000000}"/>
  </bookViews>
  <sheets>
    <sheet name="240627_triple_11_Cell 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<sst xmlns="http://schemas.openxmlformats.org/spreadsheetml/2006/main" count="46" uniqueCount="33">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</sst>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'240627_triple_11_Cell 5_SPB'!$Y$5:$Y$24</c:f>
              <c:numCache>
                <c:formatCode>General</c:formatCode>
                <c:ptCount val="20"/>
                <c:pt idx="0">
                  <c:v>1.2102139393488567</c:v>
                </c:pt>
                <c:pt idx="1">
                  <c:v>1.1465184688568102</c:v>
                </c:pt>
                <c:pt idx="2">
                  <c:v>1.082822998364765</c:v>
                </c:pt>
                <c:pt idx="3">
                  <c:v>1.0191275278727201</c:v>
                </c:pt>
                <c:pt idx="4">
                  <c:v>0.95543205738067494</c:v>
                </c:pt>
                <c:pt idx="5">
                  <c:v>0.89173658688863</c:v>
                </c:pt>
                <c:pt idx="6">
                  <c:v>0.82804111639658506</c:v>
                </c:pt>
                <c:pt idx="7">
                  <c:v>0.76434564590453991</c:v>
                </c:pt>
                <c:pt idx="8">
                  <c:v>0.70065017541249497</c:v>
                </c:pt>
                <c:pt idx="9">
                  <c:v>0.63695470492045003</c:v>
                </c:pt>
                <c:pt idx="10">
                  <c:v>0.5732592344284051</c:v>
                </c:pt>
                <c:pt idx="11">
                  <c:v>0.50956376393636005</c:v>
                </c:pt>
                <c:pt idx="12">
                  <c:v>0.445868293444315</c:v>
                </c:pt>
                <c:pt idx="13">
                  <c:v>0.38217282295226995</c:v>
                </c:pt>
                <c:pt idx="14">
                  <c:v>0.31847735246022502</c:v>
                </c:pt>
                <c:pt idx="15">
                  <c:v>0.25478188196818002</c:v>
                </c:pt>
                <c:pt idx="16">
                  <c:v>0.19108641147613498</c:v>
                </c:pt>
                <c:pt idx="17">
                  <c:v>0.12739094098409018</c:v>
                </c:pt>
                <c:pt idx="18">
                  <c:v>6.3695470492045006E-2</c:v>
                </c:pt>
                <c:pt idx="19">
                  <c:v>0</c:v>
                </c:pt>
              </c:numCache>
            </c:numRef>
          </c:xVal>
          <c:yVal>
            <c:numRef>
              <c:f>'240627_triple_11_Cell 5_SPB'!$Z$5:$Z$24</c:f>
              <c:numCache>
                <c:formatCode>General</c:formatCode>
                <c:ptCount val="20"/>
                <c:pt idx="0">
                  <c:v>2.8699592938195448</c:v>
                </c:pt>
                <c:pt idx="1">
                  <c:v>3.0129945754812084</c:v>
                </c:pt>
                <c:pt idx="2">
                  <c:v>3.0306657279609355</c:v>
                </c:pt>
                <c:pt idx="3">
                  <c:v>3.0350060285590232</c:v>
                </c:pt>
                <c:pt idx="4">
                  <c:v>3.1560678227385246</c:v>
                </c:pt>
                <c:pt idx="5">
                  <c:v>3.2824753795002213</c:v>
                </c:pt>
                <c:pt idx="6">
                  <c:v>3.3043740247919113</c:v>
                </c:pt>
                <c:pt idx="7">
                  <c:v>3.3244533865577282</c:v>
                </c:pt>
                <c:pt idx="8">
                  <c:v>3.2787240129780235</c:v>
                </c:pt>
                <c:pt idx="9">
                  <c:v>3.2581449734314583</c:v>
                </c:pt>
                <c:pt idx="10">
                  <c:v>3.3849350971378871</c:v>
                </c:pt>
                <c:pt idx="11">
                  <c:v>3.3958020241680429</c:v>
                </c:pt>
                <c:pt idx="12">
                  <c:v>3.4546916696745225</c:v>
                </c:pt>
                <c:pt idx="13">
                  <c:v>3.1241928383380921</c:v>
                </c:pt>
                <c:pt idx="14">
                  <c:v>2.9509776525560576</c:v>
                </c:pt>
                <c:pt idx="15">
                  <c:v>3.356325938514551</c:v>
                </c:pt>
                <c:pt idx="16">
                  <c:v>3.3260472398768899</c:v>
                </c:pt>
                <c:pt idx="17">
                  <c:v>3.3143908852375219</c:v>
                </c:pt>
                <c:pt idx="18">
                  <c:v>3.4488871200481457</c:v>
                </c:pt>
                <c:pt idx="19">
                  <c:v>3.5193558151714379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0-41A2-837D-CB239C9F4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419248"/>
        <c:axId val="361419576"/>
      </c:scatterChart>
      <c:valAx>
        <c:axId val="36141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419576"/>
        <c:crosses val="autoZero"/>
        <c:crossBetween val="midCat"/>
      </c:valAx>
      <c:valAx>
        <c:axId val="36141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41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8CD09-062F-456E-A031-DC7C07528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Q2" sqref="Q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3.8739954593792398</v>
      </c>
      <c r="C5">
        <v>3.96106265259077</v>
      </c>
      <c r="D5">
        <v>1.5578954566440399</v>
      </c>
      <c r="E5">
        <v>72.612836360931396</v>
      </c>
      <c r="F5">
        <v>19</v>
      </c>
      <c r="G5">
        <v>81.3333333333333</v>
      </c>
      <c r="H5">
        <v>80</v>
      </c>
      <c r="I5">
        <v>30</v>
      </c>
      <c r="J5">
        <v>135</v>
      </c>
      <c r="K5">
        <v>10980</v>
      </c>
      <c r="L5">
        <v>26.648065651845599</v>
      </c>
      <c r="M5">
        <v>1</v>
      </c>
      <c r="N5">
        <v>5.4208542356891503</v>
      </c>
      <c r="O5">
        <v>6.2321778621298796</v>
      </c>
      <c r="P5">
        <v>2.3861043550110601</v>
      </c>
      <c r="Q5">
        <v>72.612836360931396</v>
      </c>
      <c r="R5">
        <v>19</v>
      </c>
      <c r="S5">
        <v>64.748148148148104</v>
      </c>
      <c r="T5">
        <v>62</v>
      </c>
      <c r="U5">
        <v>28</v>
      </c>
      <c r="V5">
        <v>106</v>
      </c>
      <c r="W5">
        <v>8741</v>
      </c>
      <c r="X5">
        <v>19.478161716611801</v>
      </c>
      <c r="Y5">
        <f>E5/60</f>
        <v>1.2102139393488567</v>
      </c>
      <c r="Z5">
        <f>SQRT((B5-N5)^2+(C5-O5)^2+(D5-P5)^2)</f>
        <v>2.8699592938195448</v>
      </c>
    </row>
    <row r="6" spans="1:26" x14ac:dyDescent="0.25">
      <c r="A6">
        <v>0</v>
      </c>
      <c r="B6">
        <v>3.8478747770511599</v>
      </c>
      <c r="C6">
        <v>3.9646378289997402</v>
      </c>
      <c r="D6">
        <v>1.5639750176083</v>
      </c>
      <c r="E6">
        <v>68.791108131408606</v>
      </c>
      <c r="F6">
        <v>18</v>
      </c>
      <c r="G6">
        <v>84.570370370370298</v>
      </c>
      <c r="H6">
        <v>83</v>
      </c>
      <c r="I6">
        <v>36</v>
      </c>
      <c r="J6">
        <v>141</v>
      </c>
      <c r="K6">
        <v>11417</v>
      </c>
      <c r="L6">
        <v>26.2915742535032</v>
      </c>
      <c r="M6">
        <v>1</v>
      </c>
      <c r="N6">
        <v>5.5392078091720904</v>
      </c>
      <c r="O6">
        <v>6.3439672413172401</v>
      </c>
      <c r="P6">
        <v>2.3098439296945101</v>
      </c>
      <c r="Q6">
        <v>68.791108131408606</v>
      </c>
      <c r="R6">
        <v>18</v>
      </c>
      <c r="S6">
        <v>61.251851851851796</v>
      </c>
      <c r="T6">
        <v>59</v>
      </c>
      <c r="U6">
        <v>23</v>
      </c>
      <c r="V6">
        <v>103</v>
      </c>
      <c r="W6">
        <v>8269</v>
      </c>
      <c r="X6">
        <v>19.814331658735401</v>
      </c>
      <c r="Y6">
        <f t="shared" ref="Y6:Y24" si="0">E6/60</f>
        <v>1.1465184688568102</v>
      </c>
      <c r="Z6">
        <f t="shared" ref="Z6:Z24" si="1">SQRT((B6-N6)^2+(C6-O6)^2+(D6-P6)^2)</f>
        <v>3.0129945754812084</v>
      </c>
    </row>
    <row r="7" spans="1:26" x14ac:dyDescent="0.25">
      <c r="A7">
        <v>0</v>
      </c>
      <c r="B7">
        <v>3.8903346094506799</v>
      </c>
      <c r="C7">
        <v>3.9546279220450198</v>
      </c>
      <c r="D7">
        <v>1.6658585888336099</v>
      </c>
      <c r="E7">
        <v>64.969379901885901</v>
      </c>
      <c r="F7">
        <v>17</v>
      </c>
      <c r="G7">
        <v>37.007407407407399</v>
      </c>
      <c r="H7">
        <v>36</v>
      </c>
      <c r="I7">
        <v>12</v>
      </c>
      <c r="J7">
        <v>69</v>
      </c>
      <c r="K7">
        <v>4996</v>
      </c>
      <c r="L7">
        <v>14.933432539352999</v>
      </c>
      <c r="M7">
        <v>1</v>
      </c>
      <c r="N7">
        <v>5.6164572713788798</v>
      </c>
      <c r="O7">
        <v>6.3380543922988801</v>
      </c>
      <c r="P7">
        <v>2.3902297447392802</v>
      </c>
      <c r="Q7">
        <v>64.969379901885901</v>
      </c>
      <c r="R7">
        <v>17</v>
      </c>
      <c r="S7">
        <v>27.703703703703699</v>
      </c>
      <c r="T7">
        <v>27</v>
      </c>
      <c r="U7">
        <v>7</v>
      </c>
      <c r="V7">
        <v>51</v>
      </c>
      <c r="W7">
        <v>3740</v>
      </c>
      <c r="X7">
        <v>11.6843268373876</v>
      </c>
      <c r="Y7">
        <f t="shared" si="0"/>
        <v>1.082822998364765</v>
      </c>
      <c r="Z7">
        <f t="shared" si="1"/>
        <v>3.0306657279609355</v>
      </c>
    </row>
    <row r="8" spans="1:26" x14ac:dyDescent="0.25">
      <c r="A8">
        <v>0</v>
      </c>
      <c r="B8">
        <v>3.9898071110665398</v>
      </c>
      <c r="C8">
        <v>4.0528111066902497</v>
      </c>
      <c r="D8">
        <v>1.4526402265730001</v>
      </c>
      <c r="E8">
        <v>61.147651672363203</v>
      </c>
      <c r="F8">
        <v>16</v>
      </c>
      <c r="G8">
        <v>36.125925925925898</v>
      </c>
      <c r="H8">
        <v>35</v>
      </c>
      <c r="I8">
        <v>10</v>
      </c>
      <c r="J8">
        <v>67</v>
      </c>
      <c r="K8">
        <v>4877</v>
      </c>
      <c r="L8">
        <v>14.907390548970801</v>
      </c>
      <c r="M8">
        <v>1</v>
      </c>
      <c r="N8">
        <v>5.6904695683317996</v>
      </c>
      <c r="O8">
        <v>6.3471969466321596</v>
      </c>
      <c r="P8">
        <v>2.47967596953045</v>
      </c>
      <c r="Q8">
        <v>61.147651672363203</v>
      </c>
      <c r="R8">
        <v>16</v>
      </c>
      <c r="S8">
        <v>41.259259259259203</v>
      </c>
      <c r="T8">
        <v>38</v>
      </c>
      <c r="U8">
        <v>14</v>
      </c>
      <c r="V8">
        <v>75</v>
      </c>
      <c r="W8">
        <v>5570</v>
      </c>
      <c r="X8">
        <v>16.084646875789598</v>
      </c>
      <c r="Y8">
        <f t="shared" si="0"/>
        <v>1.0191275278727201</v>
      </c>
      <c r="Z8">
        <f t="shared" si="1"/>
        <v>3.0350060285590232</v>
      </c>
    </row>
    <row r="9" spans="1:26" x14ac:dyDescent="0.25">
      <c r="A9">
        <v>0</v>
      </c>
      <c r="B9">
        <v>4.01752969568473</v>
      </c>
      <c r="C9">
        <v>4.08205875585183</v>
      </c>
      <c r="D9">
        <v>1.4340412717069999</v>
      </c>
      <c r="E9">
        <v>57.325923442840498</v>
      </c>
      <c r="F9">
        <v>15</v>
      </c>
      <c r="G9">
        <v>32.377777777777702</v>
      </c>
      <c r="H9">
        <v>32</v>
      </c>
      <c r="I9">
        <v>11</v>
      </c>
      <c r="J9">
        <v>57</v>
      </c>
      <c r="K9">
        <v>4371</v>
      </c>
      <c r="L9">
        <v>11.7555110395505</v>
      </c>
      <c r="M9">
        <v>1</v>
      </c>
      <c r="N9">
        <v>5.9406299012211097</v>
      </c>
      <c r="O9">
        <v>6.4553710921783001</v>
      </c>
      <c r="P9">
        <v>2.2276647689851599</v>
      </c>
      <c r="Q9">
        <v>57.325923442840498</v>
      </c>
      <c r="R9">
        <v>15</v>
      </c>
      <c r="S9">
        <v>27.296296296296202</v>
      </c>
      <c r="T9">
        <v>27</v>
      </c>
      <c r="U9">
        <v>8</v>
      </c>
      <c r="V9">
        <v>44</v>
      </c>
      <c r="W9">
        <v>3685</v>
      </c>
      <c r="X9">
        <v>8.7809784873404304</v>
      </c>
      <c r="Y9">
        <f t="shared" si="0"/>
        <v>0.95543205738067494</v>
      </c>
      <c r="Z9">
        <f t="shared" si="1"/>
        <v>3.1560678227385246</v>
      </c>
    </row>
    <row r="10" spans="1:26" x14ac:dyDescent="0.25">
      <c r="A10">
        <v>0</v>
      </c>
      <c r="B10">
        <v>3.9843105717702998</v>
      </c>
      <c r="C10">
        <v>4.0873702776430596</v>
      </c>
      <c r="D10">
        <v>1.3984044006027301</v>
      </c>
      <c r="E10">
        <v>53.5041952133178</v>
      </c>
      <c r="F10">
        <v>14</v>
      </c>
      <c r="G10">
        <v>80.037037037036995</v>
      </c>
      <c r="H10">
        <v>79</v>
      </c>
      <c r="I10">
        <v>35</v>
      </c>
      <c r="J10">
        <v>130</v>
      </c>
      <c r="K10">
        <v>10805</v>
      </c>
      <c r="L10">
        <v>24.454773183446999</v>
      </c>
      <c r="M10">
        <v>1</v>
      </c>
      <c r="N10">
        <v>6.0038027446769302</v>
      </c>
      <c r="O10">
        <v>6.6041364680928201</v>
      </c>
      <c r="P10">
        <v>2.0002215848065199</v>
      </c>
      <c r="Q10">
        <v>53.5041952133178</v>
      </c>
      <c r="R10">
        <v>14</v>
      </c>
      <c r="S10">
        <v>72.629629629629605</v>
      </c>
      <c r="T10">
        <v>70</v>
      </c>
      <c r="U10">
        <v>31</v>
      </c>
      <c r="V10">
        <v>119</v>
      </c>
      <c r="W10">
        <v>9805</v>
      </c>
      <c r="X10">
        <v>22.262256641170101</v>
      </c>
      <c r="Y10">
        <f t="shared" si="0"/>
        <v>0.89173658688863</v>
      </c>
      <c r="Z10">
        <f t="shared" si="1"/>
        <v>3.2824753795002213</v>
      </c>
    </row>
    <row r="11" spans="1:26" x14ac:dyDescent="0.25">
      <c r="A11">
        <v>0</v>
      </c>
      <c r="B11">
        <v>3.9576967914293402</v>
      </c>
      <c r="C11">
        <v>4.1415079363282601</v>
      </c>
      <c r="D11">
        <v>1.3305476491102599</v>
      </c>
      <c r="E11">
        <v>49.682466983795102</v>
      </c>
      <c r="F11">
        <v>13</v>
      </c>
      <c r="G11">
        <v>87.044444444444395</v>
      </c>
      <c r="H11">
        <v>86</v>
      </c>
      <c r="I11">
        <v>33</v>
      </c>
      <c r="J11">
        <v>139</v>
      </c>
      <c r="K11">
        <v>11751</v>
      </c>
      <c r="L11">
        <v>26.2553098159655</v>
      </c>
      <c r="M11">
        <v>1</v>
      </c>
      <c r="N11">
        <v>6.0302723263618097</v>
      </c>
      <c r="O11">
        <v>6.6069076907815099</v>
      </c>
      <c r="P11">
        <v>2.0688716961659801</v>
      </c>
      <c r="Q11">
        <v>49.682466983795102</v>
      </c>
      <c r="R11">
        <v>13</v>
      </c>
      <c r="S11">
        <v>70.962962962962905</v>
      </c>
      <c r="T11">
        <v>69</v>
      </c>
      <c r="U11">
        <v>29</v>
      </c>
      <c r="V11">
        <v>118</v>
      </c>
      <c r="W11">
        <v>9580</v>
      </c>
      <c r="X11">
        <v>22.758107431021099</v>
      </c>
      <c r="Y11">
        <f t="shared" si="0"/>
        <v>0.82804111639658506</v>
      </c>
      <c r="Z11">
        <f t="shared" si="1"/>
        <v>3.3043740247919113</v>
      </c>
    </row>
    <row r="12" spans="1:26" x14ac:dyDescent="0.25">
      <c r="A12">
        <v>0</v>
      </c>
      <c r="B12">
        <v>3.9172758454139198</v>
      </c>
      <c r="C12">
        <v>4.0553855388515601</v>
      </c>
      <c r="D12">
        <v>1.5146535227255999</v>
      </c>
      <c r="E12">
        <v>45.860738754272397</v>
      </c>
      <c r="F12">
        <v>12</v>
      </c>
      <c r="G12">
        <v>110.28148148148099</v>
      </c>
      <c r="H12">
        <v>109</v>
      </c>
      <c r="I12">
        <v>48</v>
      </c>
      <c r="J12">
        <v>180</v>
      </c>
      <c r="K12">
        <v>14888</v>
      </c>
      <c r="L12">
        <v>34.326277270069198</v>
      </c>
      <c r="M12">
        <v>1</v>
      </c>
      <c r="N12">
        <v>6.0085491454585798</v>
      </c>
      <c r="O12">
        <v>6.5976124772732003</v>
      </c>
      <c r="P12">
        <v>1.9790332137961699</v>
      </c>
      <c r="Q12">
        <v>45.860738754272397</v>
      </c>
      <c r="R12">
        <v>12</v>
      </c>
      <c r="S12">
        <v>99.762962962962902</v>
      </c>
      <c r="T12">
        <v>96</v>
      </c>
      <c r="U12">
        <v>44</v>
      </c>
      <c r="V12">
        <v>164</v>
      </c>
      <c r="W12">
        <v>13468</v>
      </c>
      <c r="X12">
        <v>30.7772952288386</v>
      </c>
      <c r="Y12">
        <f t="shared" si="0"/>
        <v>0.76434564590453991</v>
      </c>
      <c r="Z12">
        <f t="shared" si="1"/>
        <v>3.3244533865577282</v>
      </c>
    </row>
    <row r="13" spans="1:26" x14ac:dyDescent="0.25">
      <c r="A13">
        <v>0</v>
      </c>
      <c r="B13">
        <v>3.9310307475156998</v>
      </c>
      <c r="C13">
        <v>4.0152192256404096</v>
      </c>
      <c r="D13">
        <v>1.65137177926943</v>
      </c>
      <c r="E13">
        <v>42.039010524749699</v>
      </c>
      <c r="F13">
        <v>11</v>
      </c>
      <c r="G13">
        <v>61.037037037037003</v>
      </c>
      <c r="H13">
        <v>59</v>
      </c>
      <c r="I13">
        <v>20</v>
      </c>
      <c r="J13">
        <v>108</v>
      </c>
      <c r="K13">
        <v>8240</v>
      </c>
      <c r="L13">
        <v>23.2271095494253</v>
      </c>
      <c r="M13">
        <v>1</v>
      </c>
      <c r="N13">
        <v>5.9660109214159602</v>
      </c>
      <c r="O13">
        <v>6.5840860257115796</v>
      </c>
      <c r="P13">
        <v>1.75041827644974</v>
      </c>
      <c r="Q13">
        <v>42.039010524749699</v>
      </c>
      <c r="R13">
        <v>11</v>
      </c>
      <c r="S13">
        <v>69.585185185185097</v>
      </c>
      <c r="T13">
        <v>66</v>
      </c>
      <c r="U13">
        <v>21</v>
      </c>
      <c r="V13">
        <v>128</v>
      </c>
      <c r="W13">
        <v>9394</v>
      </c>
      <c r="X13">
        <v>28.199022208406902</v>
      </c>
      <c r="Y13">
        <f t="shared" si="0"/>
        <v>0.70065017541249497</v>
      </c>
      <c r="Z13">
        <f t="shared" si="1"/>
        <v>3.2787240129780235</v>
      </c>
    </row>
    <row r="14" spans="1:26" x14ac:dyDescent="0.25">
      <c r="A14">
        <v>0</v>
      </c>
      <c r="B14">
        <v>3.8970303929997399</v>
      </c>
      <c r="C14">
        <v>4.0149081640963802</v>
      </c>
      <c r="D14">
        <v>1.5065329445493201</v>
      </c>
      <c r="E14">
        <v>38.217282295227001</v>
      </c>
      <c r="F14">
        <v>10</v>
      </c>
      <c r="G14">
        <v>96.911111111111097</v>
      </c>
      <c r="H14">
        <v>93</v>
      </c>
      <c r="I14">
        <v>28</v>
      </c>
      <c r="J14">
        <v>175</v>
      </c>
      <c r="K14">
        <v>13083</v>
      </c>
      <c r="L14">
        <v>38.007749929802003</v>
      </c>
      <c r="M14">
        <v>1</v>
      </c>
      <c r="N14">
        <v>5.96700066715752</v>
      </c>
      <c r="O14">
        <v>6.5100459883726902</v>
      </c>
      <c r="P14">
        <v>1.8305992492857499</v>
      </c>
      <c r="Q14">
        <v>38.217282295227001</v>
      </c>
      <c r="R14">
        <v>10</v>
      </c>
      <c r="S14">
        <v>58.829629629629601</v>
      </c>
      <c r="T14">
        <v>57</v>
      </c>
      <c r="U14">
        <v>19</v>
      </c>
      <c r="V14">
        <v>103</v>
      </c>
      <c r="W14">
        <v>7942</v>
      </c>
      <c r="X14">
        <v>21.181004141186602</v>
      </c>
      <c r="Y14">
        <f t="shared" si="0"/>
        <v>0.63695470492045003</v>
      </c>
      <c r="Z14">
        <f t="shared" si="1"/>
        <v>3.2581449734314583</v>
      </c>
    </row>
    <row r="15" spans="1:26" x14ac:dyDescent="0.25">
      <c r="A15">
        <v>0</v>
      </c>
      <c r="B15">
        <v>3.8178948668895001</v>
      </c>
      <c r="C15">
        <v>3.8706516455485001</v>
      </c>
      <c r="D15">
        <v>1.54980341720522</v>
      </c>
      <c r="E15">
        <v>34.395554065704303</v>
      </c>
      <c r="F15">
        <v>9</v>
      </c>
      <c r="G15">
        <v>97.459259259259198</v>
      </c>
      <c r="H15">
        <v>93</v>
      </c>
      <c r="I15">
        <v>32</v>
      </c>
      <c r="J15">
        <v>180</v>
      </c>
      <c r="K15">
        <v>13157</v>
      </c>
      <c r="L15">
        <v>38.302558848888602</v>
      </c>
      <c r="M15">
        <v>1</v>
      </c>
      <c r="N15">
        <v>6.0255481722759603</v>
      </c>
      <c r="O15">
        <v>6.4296555243666704</v>
      </c>
      <c r="P15">
        <v>1.73835485115806</v>
      </c>
      <c r="Q15">
        <v>34.395554065704303</v>
      </c>
      <c r="R15">
        <v>9</v>
      </c>
      <c r="S15">
        <v>64.496296296296293</v>
      </c>
      <c r="T15">
        <v>63</v>
      </c>
      <c r="U15">
        <v>20</v>
      </c>
      <c r="V15">
        <v>113</v>
      </c>
      <c r="W15">
        <v>8707</v>
      </c>
      <c r="X15">
        <v>24.925822513434799</v>
      </c>
      <c r="Y15">
        <f t="shared" si="0"/>
        <v>0.5732592344284051</v>
      </c>
      <c r="Z15">
        <f t="shared" si="1"/>
        <v>3.3849350971378871</v>
      </c>
    </row>
    <row r="16" spans="1:26" x14ac:dyDescent="0.25">
      <c r="A16">
        <v>0</v>
      </c>
      <c r="B16">
        <v>3.7173755735604201</v>
      </c>
      <c r="C16">
        <v>3.8566722357860099</v>
      </c>
      <c r="D16">
        <v>1.6043465482917401</v>
      </c>
      <c r="E16">
        <v>30.573825836181602</v>
      </c>
      <c r="F16">
        <v>8</v>
      </c>
      <c r="G16">
        <v>71.644444444444403</v>
      </c>
      <c r="H16">
        <v>71</v>
      </c>
      <c r="I16">
        <v>23</v>
      </c>
      <c r="J16">
        <v>124</v>
      </c>
      <c r="K16">
        <v>9672</v>
      </c>
      <c r="L16">
        <v>25.458912366899501</v>
      </c>
      <c r="M16">
        <v>1</v>
      </c>
      <c r="N16">
        <v>5.9949329885848002</v>
      </c>
      <c r="O16">
        <v>6.3715306320360003</v>
      </c>
      <c r="P16">
        <v>1.7446706567769501</v>
      </c>
      <c r="Q16">
        <v>30.573825836181602</v>
      </c>
      <c r="R16">
        <v>8</v>
      </c>
      <c r="S16">
        <v>67.970370370370304</v>
      </c>
      <c r="T16">
        <v>66</v>
      </c>
      <c r="U16">
        <v>22</v>
      </c>
      <c r="V16">
        <v>120</v>
      </c>
      <c r="W16">
        <v>9176</v>
      </c>
      <c r="X16">
        <v>26.307861812495901</v>
      </c>
      <c r="Y16">
        <f t="shared" si="0"/>
        <v>0.50956376393636005</v>
      </c>
      <c r="Z16">
        <f t="shared" si="1"/>
        <v>3.3958020241680429</v>
      </c>
    </row>
    <row r="17" spans="1:26" x14ac:dyDescent="0.25">
      <c r="A17">
        <v>0</v>
      </c>
      <c r="B17">
        <v>3.63969198906736</v>
      </c>
      <c r="C17">
        <v>3.94183830725951</v>
      </c>
      <c r="D17">
        <v>1.7170948825668799</v>
      </c>
      <c r="E17">
        <v>26.7520976066589</v>
      </c>
      <c r="F17">
        <v>7</v>
      </c>
      <c r="G17">
        <v>81.288888888888806</v>
      </c>
      <c r="H17">
        <v>80</v>
      </c>
      <c r="I17">
        <v>31</v>
      </c>
      <c r="J17">
        <v>140</v>
      </c>
      <c r="K17">
        <v>10974</v>
      </c>
      <c r="L17">
        <v>27.684757017974299</v>
      </c>
      <c r="M17">
        <v>1</v>
      </c>
      <c r="N17">
        <v>6.0027010576490598</v>
      </c>
      <c r="O17">
        <v>6.4572018260682498</v>
      </c>
      <c r="P17">
        <v>1.87210792255159</v>
      </c>
      <c r="Q17">
        <v>26.7520976066589</v>
      </c>
      <c r="R17">
        <v>7</v>
      </c>
      <c r="S17">
        <v>67.985185185185102</v>
      </c>
      <c r="T17">
        <v>65</v>
      </c>
      <c r="U17">
        <v>22</v>
      </c>
      <c r="V17">
        <v>120</v>
      </c>
      <c r="W17">
        <v>9178</v>
      </c>
      <c r="X17">
        <v>24.990441511567202</v>
      </c>
      <c r="Y17">
        <f t="shared" si="0"/>
        <v>0.445868293444315</v>
      </c>
      <c r="Z17">
        <f t="shared" si="1"/>
        <v>3.4546916696745225</v>
      </c>
    </row>
    <row r="18" spans="1:26" x14ac:dyDescent="0.25">
      <c r="A18">
        <v>0</v>
      </c>
      <c r="B18">
        <v>3.7631242004218999</v>
      </c>
      <c r="C18">
        <v>4.0878996562481902</v>
      </c>
      <c r="D18">
        <v>1.6566729713749</v>
      </c>
      <c r="E18">
        <v>22.930369377136198</v>
      </c>
      <c r="F18">
        <v>6</v>
      </c>
      <c r="G18">
        <v>65.725925925925907</v>
      </c>
      <c r="H18">
        <v>62</v>
      </c>
      <c r="I18">
        <v>23</v>
      </c>
      <c r="J18">
        <v>114</v>
      </c>
      <c r="K18">
        <v>8873</v>
      </c>
      <c r="L18">
        <v>24.0389701115568</v>
      </c>
      <c r="M18">
        <v>1</v>
      </c>
      <c r="N18">
        <v>5.8609352212899299</v>
      </c>
      <c r="O18">
        <v>6.4015899352041101</v>
      </c>
      <c r="P18">
        <v>1.73795707137319</v>
      </c>
      <c r="Q18">
        <v>22.930369377136198</v>
      </c>
      <c r="R18">
        <v>6</v>
      </c>
      <c r="S18">
        <v>73.429629629629602</v>
      </c>
      <c r="T18">
        <v>71</v>
      </c>
      <c r="U18">
        <v>24</v>
      </c>
      <c r="V18">
        <v>131</v>
      </c>
      <c r="W18">
        <v>9913</v>
      </c>
      <c r="X18">
        <v>28.535795991120899</v>
      </c>
      <c r="Y18">
        <f t="shared" si="0"/>
        <v>0.38217282295226995</v>
      </c>
      <c r="Z18">
        <f t="shared" si="1"/>
        <v>3.1241928383380921</v>
      </c>
    </row>
    <row r="19" spans="1:26" x14ac:dyDescent="0.25">
      <c r="A19">
        <v>0</v>
      </c>
      <c r="B19">
        <v>3.8752253518707298</v>
      </c>
      <c r="C19">
        <v>3.9971558266942799</v>
      </c>
      <c r="D19">
        <v>1.57629903851189</v>
      </c>
      <c r="E19">
        <v>19.108641147613501</v>
      </c>
      <c r="F19">
        <v>5</v>
      </c>
      <c r="G19">
        <v>106.148148148148</v>
      </c>
      <c r="H19">
        <v>99</v>
      </c>
      <c r="I19">
        <v>34</v>
      </c>
      <c r="J19">
        <v>198</v>
      </c>
      <c r="K19">
        <v>14330</v>
      </c>
      <c r="L19">
        <v>42.565405075385101</v>
      </c>
      <c r="M19">
        <v>1</v>
      </c>
      <c r="N19">
        <v>5.7120732903209701</v>
      </c>
      <c r="O19">
        <v>6.2965466526045502</v>
      </c>
      <c r="P19">
        <v>1.79323356000639</v>
      </c>
      <c r="Q19">
        <v>19.108641147613501</v>
      </c>
      <c r="R19">
        <v>5</v>
      </c>
      <c r="S19">
        <v>80.970370370370304</v>
      </c>
      <c r="T19">
        <v>79</v>
      </c>
      <c r="U19">
        <v>24</v>
      </c>
      <c r="V19">
        <v>148</v>
      </c>
      <c r="W19">
        <v>10931</v>
      </c>
      <c r="X19">
        <v>32.203397600656601</v>
      </c>
      <c r="Y19">
        <f t="shared" si="0"/>
        <v>0.31847735246022502</v>
      </c>
      <c r="Z19">
        <f t="shared" si="1"/>
        <v>2.9509776525560576</v>
      </c>
    </row>
    <row r="20" spans="1:26" x14ac:dyDescent="0.25">
      <c r="A20">
        <v>0</v>
      </c>
      <c r="B20">
        <v>3.7314095957909501</v>
      </c>
      <c r="C20">
        <v>3.8109697007004701</v>
      </c>
      <c r="D20">
        <v>1.5024620453198501</v>
      </c>
      <c r="E20">
        <v>15.286912918090801</v>
      </c>
      <c r="F20">
        <v>4</v>
      </c>
      <c r="G20">
        <v>97.481481481481396</v>
      </c>
      <c r="H20">
        <v>93</v>
      </c>
      <c r="I20">
        <v>34</v>
      </c>
      <c r="J20">
        <v>176</v>
      </c>
      <c r="K20">
        <v>13160</v>
      </c>
      <c r="L20">
        <v>36.514125635473697</v>
      </c>
      <c r="M20">
        <v>1</v>
      </c>
      <c r="N20">
        <v>5.7649685905435604</v>
      </c>
      <c r="O20">
        <v>6.4613010905854802</v>
      </c>
      <c r="P20">
        <v>1.8269695863670901</v>
      </c>
      <c r="Q20">
        <v>15.286912918090801</v>
      </c>
      <c r="R20">
        <v>4</v>
      </c>
      <c r="S20">
        <v>81.651851851851802</v>
      </c>
      <c r="T20">
        <v>81</v>
      </c>
      <c r="U20">
        <v>28</v>
      </c>
      <c r="V20">
        <v>148</v>
      </c>
      <c r="W20">
        <v>11023</v>
      </c>
      <c r="X20">
        <v>32.056693835755702</v>
      </c>
      <c r="Y20">
        <f t="shared" si="0"/>
        <v>0.25478188196818002</v>
      </c>
      <c r="Z20">
        <f t="shared" si="1"/>
        <v>3.356325938514551</v>
      </c>
    </row>
    <row r="21" spans="1:26" x14ac:dyDescent="0.25">
      <c r="A21">
        <v>0</v>
      </c>
      <c r="B21">
        <v>3.6929154480983</v>
      </c>
      <c r="C21">
        <v>3.7843308434499501</v>
      </c>
      <c r="D21">
        <v>1.58958715732395</v>
      </c>
      <c r="E21">
        <v>11.465184688568099</v>
      </c>
      <c r="F21">
        <v>3</v>
      </c>
      <c r="G21">
        <v>128.19999999999999</v>
      </c>
      <c r="H21">
        <v>117</v>
      </c>
      <c r="I21">
        <v>50</v>
      </c>
      <c r="J21">
        <v>236</v>
      </c>
      <c r="K21">
        <v>17307</v>
      </c>
      <c r="L21">
        <v>49.049898443456797</v>
      </c>
      <c r="M21">
        <v>1</v>
      </c>
      <c r="N21">
        <v>5.6706144502666298</v>
      </c>
      <c r="O21">
        <v>6.4254263671008101</v>
      </c>
      <c r="P21">
        <v>2.0090050082393098</v>
      </c>
      <c r="Q21">
        <v>11.465184688568099</v>
      </c>
      <c r="R21">
        <v>3</v>
      </c>
      <c r="S21">
        <v>107.333333333333</v>
      </c>
      <c r="T21">
        <v>101</v>
      </c>
      <c r="U21">
        <v>35</v>
      </c>
      <c r="V21">
        <v>197</v>
      </c>
      <c r="W21">
        <v>14490</v>
      </c>
      <c r="X21">
        <v>41.344204957673199</v>
      </c>
      <c r="Y21">
        <f t="shared" si="0"/>
        <v>0.19108641147613498</v>
      </c>
      <c r="Z21">
        <f t="shared" si="1"/>
        <v>3.3260472398768899</v>
      </c>
    </row>
    <row r="22" spans="1:26" x14ac:dyDescent="0.25">
      <c r="A22">
        <v>0</v>
      </c>
      <c r="B22">
        <v>3.6571152258739801</v>
      </c>
      <c r="C22">
        <v>3.8050415546582599</v>
      </c>
      <c r="D22">
        <v>1.6201219306569401</v>
      </c>
      <c r="E22">
        <v>7.6434564590454102</v>
      </c>
      <c r="F22">
        <v>2</v>
      </c>
      <c r="G22">
        <v>229.05925925925899</v>
      </c>
      <c r="H22">
        <v>230</v>
      </c>
      <c r="I22">
        <v>89</v>
      </c>
      <c r="J22">
        <v>380</v>
      </c>
      <c r="K22">
        <v>30923</v>
      </c>
      <c r="L22">
        <v>73.746617727953307</v>
      </c>
      <c r="M22">
        <v>1</v>
      </c>
      <c r="N22">
        <v>5.6974100236960004</v>
      </c>
      <c r="O22">
        <v>6.3900541944390996</v>
      </c>
      <c r="P22">
        <v>1.99441290075809</v>
      </c>
      <c r="Q22">
        <v>7.6434564590454102</v>
      </c>
      <c r="R22">
        <v>2</v>
      </c>
      <c r="S22">
        <v>173.333333333333</v>
      </c>
      <c r="T22">
        <v>165</v>
      </c>
      <c r="U22">
        <v>79</v>
      </c>
      <c r="V22">
        <v>289</v>
      </c>
      <c r="W22">
        <v>23400</v>
      </c>
      <c r="X22">
        <v>53.339800602910103</v>
      </c>
      <c r="Y22">
        <f t="shared" si="0"/>
        <v>0.12739094098409018</v>
      </c>
      <c r="Z22">
        <f t="shared" si="1"/>
        <v>3.3143908852375219</v>
      </c>
    </row>
    <row r="23" spans="1:26" x14ac:dyDescent="0.25">
      <c r="A23">
        <v>0</v>
      </c>
      <c r="B23">
        <v>3.6153795506990698</v>
      </c>
      <c r="C23">
        <v>3.8352297114419298</v>
      </c>
      <c r="D23">
        <v>1.6132859113937801</v>
      </c>
      <c r="E23">
        <v>3.8217282295227002</v>
      </c>
      <c r="F23">
        <v>1</v>
      </c>
      <c r="G23">
        <v>206.74074074073999</v>
      </c>
      <c r="H23">
        <v>206</v>
      </c>
      <c r="I23">
        <v>67</v>
      </c>
      <c r="J23">
        <v>340</v>
      </c>
      <c r="K23">
        <v>27910</v>
      </c>
      <c r="L23">
        <v>69.553046754833403</v>
      </c>
      <c r="M23">
        <v>1</v>
      </c>
      <c r="N23">
        <v>5.7432105675295197</v>
      </c>
      <c r="O23">
        <v>6.5351389323153599</v>
      </c>
      <c r="P23">
        <v>1.89193933357071</v>
      </c>
      <c r="Q23">
        <v>3.8217282295227002</v>
      </c>
      <c r="R23">
        <v>1</v>
      </c>
      <c r="S23">
        <v>210.318518518518</v>
      </c>
      <c r="T23">
        <v>203</v>
      </c>
      <c r="U23">
        <v>77</v>
      </c>
      <c r="V23">
        <v>343</v>
      </c>
      <c r="W23">
        <v>28393</v>
      </c>
      <c r="X23">
        <v>66.905329847239599</v>
      </c>
      <c r="Y23">
        <f t="shared" si="0"/>
        <v>6.3695470492045006E-2</v>
      </c>
      <c r="Z23">
        <f t="shared" si="1"/>
        <v>3.4488871200481457</v>
      </c>
    </row>
    <row r="24" spans="1:26" x14ac:dyDescent="0.25">
      <c r="A24">
        <v>0</v>
      </c>
      <c r="B24">
        <v>3.53761639661121</v>
      </c>
      <c r="C24">
        <v>3.8344211647036999</v>
      </c>
      <c r="D24">
        <v>1.7371599909467801</v>
      </c>
      <c r="E24">
        <v>0</v>
      </c>
      <c r="F24">
        <v>0</v>
      </c>
      <c r="G24">
        <v>319.888888888888</v>
      </c>
      <c r="H24">
        <v>327</v>
      </c>
      <c r="I24">
        <v>122</v>
      </c>
      <c r="J24">
        <v>537</v>
      </c>
      <c r="K24">
        <v>43185</v>
      </c>
      <c r="L24">
        <v>105.58823619083</v>
      </c>
      <c r="M24">
        <v>1</v>
      </c>
      <c r="N24">
        <v>5.7658265155503701</v>
      </c>
      <c r="O24">
        <v>6.5475282601861702</v>
      </c>
      <c r="P24">
        <v>1.9820985711680801</v>
      </c>
      <c r="Q24">
        <v>0</v>
      </c>
      <c r="R24">
        <v>0</v>
      </c>
      <c r="S24">
        <v>313.02962962962903</v>
      </c>
      <c r="T24">
        <v>305</v>
      </c>
      <c r="U24">
        <v>134</v>
      </c>
      <c r="V24">
        <v>515</v>
      </c>
      <c r="W24">
        <v>42259</v>
      </c>
      <c r="X24">
        <v>95.697903152431905</v>
      </c>
      <c r="Y24">
        <f t="shared" si="0"/>
        <v>0</v>
      </c>
      <c r="Z24">
        <f t="shared" si="1"/>
        <v>3.5193558151714379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240627_triple_11_Cell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2024-12-05T22:50:06Z</dcterms:created>
  <dcterms:modified xsi:type="dcterms:W3CDTF">2024-12-05T22:51:05Z</dcterms:modified>
</cp:coreProperties>
</file>